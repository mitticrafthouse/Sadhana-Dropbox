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3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4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5.xml" ContentType="application/vnd.openxmlformats-officedocument.spreadsheetml.pivot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ivotTables/pivotTable6.xml" ContentType="application/vnd.openxmlformats-officedocument.spreadsheetml.pivot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ivotTables/pivotTable7.xml" ContentType="application/vnd.openxmlformats-officedocument.spreadsheetml.pivot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pivotTables/pivotTable8.xml" ContentType="application/vnd.openxmlformats-officedocument.spreadsheetml.pivotTable+xml"/>
  <Override PartName="/xl/tables/table2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hamaru\OneDrive - Capgemini\Desktop\Dharmesh Personal Doc\Sadhana Dropbox\"/>
    </mc:Choice>
  </mc:AlternateContent>
  <xr:revisionPtr revIDLastSave="0" documentId="13_ncr:1_{68EECA88-D1A6-4C60-A956-570E73220F3E}" xr6:coauthVersionLast="47" xr6:coauthVersionMax="47" xr10:uidLastSave="{00000000-0000-0000-0000-000000000000}"/>
  <bookViews>
    <workbookView xWindow="-110" yWindow="-110" windowWidth="19420" windowHeight="11500" tabRatio="855" firstSheet="1" activeTab="1" xr2:uid="{5E5DAF8B-6245-4CAB-BC13-F644A68BB9D5}"/>
  </bookViews>
  <sheets>
    <sheet name="Forecast" sheetId="3" state="hidden" r:id="rId1"/>
    <sheet name="Diwali 2025" sheetId="27" r:id="rId2"/>
    <sheet name="EMI" sheetId="4" r:id="rId3"/>
    <sheet name="Forecast 2025" sheetId="12" r:id="rId4"/>
    <sheet name="Loan 062025" sheetId="17" state="hidden" r:id="rId5"/>
    <sheet name="November 2024" sheetId="8" r:id="rId6"/>
    <sheet name="December 2024" sheetId="9" r:id="rId7"/>
    <sheet name="January 2025" sheetId="10" r:id="rId8"/>
    <sheet name="Febuary 2025" sheetId="11" r:id="rId9"/>
    <sheet name="March 2025" sheetId="1" r:id="rId10"/>
    <sheet name="March Expense" sheetId="2" r:id="rId11"/>
    <sheet name="April 2025" sheetId="6" r:id="rId12"/>
    <sheet name="April Expense" sheetId="7" r:id="rId13"/>
    <sheet name="May 2025" sheetId="13" r:id="rId14"/>
    <sheet name="May Expense" sheetId="14" r:id="rId15"/>
    <sheet name="June 2025" sheetId="15" r:id="rId16"/>
    <sheet name="June Expense" sheetId="16" r:id="rId17"/>
    <sheet name="July 2025" sheetId="19" r:id="rId18"/>
    <sheet name="July Expense" sheetId="18" r:id="rId19"/>
    <sheet name="Aug 2025" sheetId="20" r:id="rId20"/>
    <sheet name="Aug Expense" sheetId="21" r:id="rId21"/>
    <sheet name="Sept 2025" sheetId="22" r:id="rId22"/>
    <sheet name="Sept Expense" sheetId="23" r:id="rId23"/>
    <sheet name="Oct 2025" sheetId="24" r:id="rId24"/>
    <sheet name="Nov 2025" sheetId="28" r:id="rId25"/>
    <sheet name="Oct Expense" sheetId="25" r:id="rId26"/>
  </sheets>
  <definedNames>
    <definedName name="_xlnm._FilterDatabase" localSheetId="4" hidden="1">'Loan 062025'!$J$1:$Q$16</definedName>
  </definedNames>
  <calcPr calcId="191029"/>
  <pivotCaches>
    <pivotCache cacheId="0" r:id="rId27"/>
    <pivotCache cacheId="1" r:id="rId28"/>
    <pivotCache cacheId="2" r:id="rId29"/>
    <pivotCache cacheId="3" r:id="rId30"/>
    <pivotCache cacheId="4" r:id="rId31"/>
    <pivotCache cacheId="5" r:id="rId32"/>
    <pivotCache cacheId="6" r:id="rId33"/>
    <pivotCache cacheId="7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2" l="1"/>
  <c r="I26" i="12"/>
  <c r="I8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B11" i="12" l="1"/>
  <c r="J20" i="28"/>
  <c r="J24" i="4"/>
  <c r="B12" i="12"/>
  <c r="B4" i="12"/>
  <c r="J16" i="28"/>
  <c r="J15" i="28"/>
  <c r="J14" i="28"/>
  <c r="J10" i="28"/>
  <c r="I33" i="24" l="1"/>
  <c r="O47" i="28"/>
  <c r="O41" i="28"/>
  <c r="O40" i="28"/>
  <c r="U40" i="28" s="1"/>
  <c r="O39" i="28"/>
  <c r="U39" i="28" s="1"/>
  <c r="A39" i="28"/>
  <c r="O38" i="28"/>
  <c r="V38" i="28" s="1"/>
  <c r="V37" i="28"/>
  <c r="T37" i="28"/>
  <c r="O37" i="28"/>
  <c r="U37" i="28" s="1"/>
  <c r="O36" i="28"/>
  <c r="A41" i="28" s="1"/>
  <c r="F35" i="28"/>
  <c r="J33" i="28"/>
  <c r="K33" i="28" s="1"/>
  <c r="I33" i="28"/>
  <c r="F33" i="28" s="1"/>
  <c r="M32" i="28"/>
  <c r="V31" i="28"/>
  <c r="O31" i="28"/>
  <c r="T31" i="28" s="1"/>
  <c r="M31" i="28"/>
  <c r="O30" i="28"/>
  <c r="T30" i="28" s="1"/>
  <c r="V29" i="28"/>
  <c r="U29" i="28"/>
  <c r="O29" i="28"/>
  <c r="T29" i="28" s="1"/>
  <c r="M29" i="28"/>
  <c r="F29" i="28"/>
  <c r="O28" i="28"/>
  <c r="U28" i="28" s="1"/>
  <c r="M28" i="28"/>
  <c r="V27" i="28"/>
  <c r="U27" i="28"/>
  <c r="T27" i="28"/>
  <c r="O27" i="28"/>
  <c r="M27" i="28"/>
  <c r="F27" i="28"/>
  <c r="E27" i="28"/>
  <c r="D27" i="28"/>
  <c r="C27" i="28" s="1"/>
  <c r="O26" i="28"/>
  <c r="T26" i="28" s="1"/>
  <c r="M26" i="28"/>
  <c r="F26" i="28"/>
  <c r="D26" i="28"/>
  <c r="E26" i="28" s="1"/>
  <c r="T25" i="28"/>
  <c r="O25" i="28"/>
  <c r="V25" i="28" s="1"/>
  <c r="M25" i="28"/>
  <c r="F25" i="28"/>
  <c r="M24" i="28"/>
  <c r="F24" i="28"/>
  <c r="D24" i="28"/>
  <c r="E24" i="28" s="1"/>
  <c r="M23" i="28"/>
  <c r="F23" i="28"/>
  <c r="M22" i="28"/>
  <c r="F22" i="28"/>
  <c r="D22" i="28" s="1"/>
  <c r="M21" i="28"/>
  <c r="F21" i="28"/>
  <c r="D21" i="28"/>
  <c r="E21" i="28" s="1"/>
  <c r="T20" i="28"/>
  <c r="O20" i="28"/>
  <c r="V20" i="28" s="1"/>
  <c r="M20" i="28"/>
  <c r="F20" i="28"/>
  <c r="D20" i="28" s="1"/>
  <c r="C20" i="28" s="1"/>
  <c r="O19" i="28"/>
  <c r="U19" i="28" s="1"/>
  <c r="M19" i="28"/>
  <c r="F19" i="28"/>
  <c r="O18" i="28"/>
  <c r="V18" i="28" s="1"/>
  <c r="M18" i="28"/>
  <c r="F18" i="28"/>
  <c r="T47" i="28"/>
  <c r="O17" i="28"/>
  <c r="V17" i="28" s="1"/>
  <c r="M17" i="28"/>
  <c r="F17" i="28"/>
  <c r="D17" i="28" s="1"/>
  <c r="O16" i="28"/>
  <c r="V16" i="28" s="1"/>
  <c r="M16" i="28"/>
  <c r="F16" i="28"/>
  <c r="D16" i="28" s="1"/>
  <c r="O15" i="28"/>
  <c r="V15" i="28" s="1"/>
  <c r="M15" i="28"/>
  <c r="F15" i="28"/>
  <c r="D15" i="28" s="1"/>
  <c r="V14" i="28"/>
  <c r="T14" i="28"/>
  <c r="O14" i="28"/>
  <c r="M14" i="28"/>
  <c r="M13" i="28"/>
  <c r="F13" i="28"/>
  <c r="D13" i="28" s="1"/>
  <c r="M12" i="28"/>
  <c r="F12" i="28"/>
  <c r="D12" i="28" s="1"/>
  <c r="M11" i="28"/>
  <c r="F11" i="28"/>
  <c r="M10" i="28"/>
  <c r="O9" i="28"/>
  <c r="T9" i="28" s="1"/>
  <c r="M9" i="28"/>
  <c r="O8" i="28"/>
  <c r="U8" i="28" s="1"/>
  <c r="M8" i="28"/>
  <c r="F8" i="28"/>
  <c r="O7" i="28"/>
  <c r="T7" i="28" s="1"/>
  <c r="M7" i="28"/>
  <c r="F7" i="28"/>
  <c r="V6" i="28"/>
  <c r="U6" i="28"/>
  <c r="O6" i="28"/>
  <c r="T6" i="28" s="1"/>
  <c r="M6" i="28"/>
  <c r="F6" i="28"/>
  <c r="D6" i="28" s="1"/>
  <c r="O5" i="28"/>
  <c r="V5" i="28" s="1"/>
  <c r="M5" i="28"/>
  <c r="F5" i="28"/>
  <c r="D5" i="28" s="1"/>
  <c r="C5" i="28" s="1"/>
  <c r="U4" i="28"/>
  <c r="O4" i="28"/>
  <c r="V4" i="28" s="1"/>
  <c r="M4" i="28"/>
  <c r="F4" i="28"/>
  <c r="D4" i="28" s="1"/>
  <c r="C4" i="28" s="1"/>
  <c r="O3" i="28"/>
  <c r="A42" i="28" s="1"/>
  <c r="M3" i="28"/>
  <c r="F3" i="28"/>
  <c r="M2" i="28"/>
  <c r="K2" i="28"/>
  <c r="F2" i="28"/>
  <c r="D2" i="28"/>
  <c r="D2" i="12"/>
  <c r="F35" i="24"/>
  <c r="J30" i="24"/>
  <c r="G30" i="24"/>
  <c r="J29" i="24"/>
  <c r="J28" i="24"/>
  <c r="H27" i="24"/>
  <c r="E14" i="4"/>
  <c r="B19" i="27"/>
  <c r="B18" i="27"/>
  <c r="I34" i="24"/>
  <c r="J34" i="24"/>
  <c r="I19" i="22"/>
  <c r="I18" i="22"/>
  <c r="I10" i="22"/>
  <c r="I9" i="22"/>
  <c r="I7" i="22"/>
  <c r="I4" i="22"/>
  <c r="B5" i="27"/>
  <c r="E17" i="28" l="1"/>
  <c r="C17" i="28"/>
  <c r="E16" i="28"/>
  <c r="C16" i="28"/>
  <c r="B16" i="28" s="1"/>
  <c r="L16" i="28" s="1"/>
  <c r="E15" i="28"/>
  <c r="C15" i="28"/>
  <c r="B15" i="28" s="1"/>
  <c r="L15" i="28" s="1"/>
  <c r="E12" i="28"/>
  <c r="C12" i="28"/>
  <c r="S27" i="28"/>
  <c r="Q27" i="28" s="1"/>
  <c r="P27" i="28" s="1"/>
  <c r="C22" i="28"/>
  <c r="E22" i="28"/>
  <c r="B4" i="28"/>
  <c r="L4" i="28" s="1"/>
  <c r="E20" i="28"/>
  <c r="B20" i="28"/>
  <c r="L20" i="28" s="1"/>
  <c r="U26" i="28"/>
  <c r="S26" i="28" s="1"/>
  <c r="Q26" i="28" s="1"/>
  <c r="P26" i="28" s="1"/>
  <c r="T16" i="28"/>
  <c r="V26" i="28"/>
  <c r="V28" i="28"/>
  <c r="U30" i="28"/>
  <c r="S30" i="28" s="1"/>
  <c r="Q30" i="28" s="1"/>
  <c r="P30" i="28" s="1"/>
  <c r="J34" i="28"/>
  <c r="T36" i="28"/>
  <c r="V8" i="28"/>
  <c r="T15" i="28"/>
  <c r="T18" i="28"/>
  <c r="U36" i="28"/>
  <c r="V41" i="28"/>
  <c r="S6" i="28"/>
  <c r="Q6" i="28" s="1"/>
  <c r="P6" i="28" s="1"/>
  <c r="U9" i="28"/>
  <c r="S9" i="28" s="1"/>
  <c r="Q9" i="28" s="1"/>
  <c r="P9" i="28" s="1"/>
  <c r="T41" i="28"/>
  <c r="V9" i="28"/>
  <c r="T17" i="28"/>
  <c r="T19" i="28"/>
  <c r="S19" i="28" s="1"/>
  <c r="T38" i="28"/>
  <c r="V19" i="28"/>
  <c r="V21" i="28" s="1"/>
  <c r="I39" i="28" s="1"/>
  <c r="T40" i="28"/>
  <c r="S40" i="28" s="1"/>
  <c r="Q40" i="28" s="1"/>
  <c r="P40" i="28" s="1"/>
  <c r="V30" i="28"/>
  <c r="S37" i="28"/>
  <c r="Q37" i="28" s="1"/>
  <c r="P37" i="28" s="1"/>
  <c r="U41" i="28"/>
  <c r="T4" i="28"/>
  <c r="S4" i="28" s="1"/>
  <c r="Q4" i="28" s="1"/>
  <c r="P4" i="28" s="1"/>
  <c r="T3" i="28"/>
  <c r="S29" i="28"/>
  <c r="Q29" i="28" s="1"/>
  <c r="P29" i="28" s="1"/>
  <c r="E13" i="28"/>
  <c r="C13" i="28"/>
  <c r="B13" i="28"/>
  <c r="D33" i="28"/>
  <c r="E33" i="28" s="1"/>
  <c r="D11" i="28"/>
  <c r="E11" i="28" s="1"/>
  <c r="C6" i="28"/>
  <c r="B6" i="28" s="1"/>
  <c r="E6" i="28"/>
  <c r="D18" i="28"/>
  <c r="D3" i="28"/>
  <c r="E3" i="28"/>
  <c r="D19" i="28"/>
  <c r="E19" i="28"/>
  <c r="D23" i="28"/>
  <c r="M30" i="28"/>
  <c r="M34" i="28" s="1"/>
  <c r="U31" i="28"/>
  <c r="S31" i="28" s="1"/>
  <c r="I34" i="28"/>
  <c r="V39" i="28"/>
  <c r="E5" i="28"/>
  <c r="U5" i="28"/>
  <c r="V7" i="28"/>
  <c r="F31" i="28"/>
  <c r="A40" i="28"/>
  <c r="U16" i="28"/>
  <c r="U20" i="28"/>
  <c r="S20" i="28" s="1"/>
  <c r="D25" i="28"/>
  <c r="U25" i="28"/>
  <c r="M33" i="28"/>
  <c r="A38" i="28"/>
  <c r="U3" i="28"/>
  <c r="V3" i="28"/>
  <c r="D8" i="28"/>
  <c r="E8" i="28" s="1"/>
  <c r="T8" i="28"/>
  <c r="S8" i="28" s="1"/>
  <c r="U14" i="28"/>
  <c r="U18" i="28"/>
  <c r="E4" i="28"/>
  <c r="T5" i="28"/>
  <c r="U7" i="28"/>
  <c r="S7" i="28" s="1"/>
  <c r="B2" i="28"/>
  <c r="F10" i="28"/>
  <c r="B12" i="28"/>
  <c r="L12" i="28" s="1"/>
  <c r="F14" i="28"/>
  <c r="B17" i="28"/>
  <c r="L17" i="28" s="1"/>
  <c r="T28" i="28"/>
  <c r="S28" i="28" s="1"/>
  <c r="V40" i="28"/>
  <c r="C21" i="28"/>
  <c r="C24" i="28"/>
  <c r="B24" i="28" s="1"/>
  <c r="C26" i="28"/>
  <c r="F28" i="28"/>
  <c r="F30" i="28"/>
  <c r="F32" i="28"/>
  <c r="V36" i="28"/>
  <c r="U38" i="28"/>
  <c r="U15" i="28"/>
  <c r="U17" i="28"/>
  <c r="B22" i="28"/>
  <c r="L22" i="28" s="1"/>
  <c r="B27" i="28"/>
  <c r="L27" i="28" s="1"/>
  <c r="U47" i="28"/>
  <c r="E2" i="28"/>
  <c r="B5" i="28"/>
  <c r="L5" i="28" s="1"/>
  <c r="D7" i="28"/>
  <c r="E7" i="28" s="1"/>
  <c r="D29" i="28"/>
  <c r="E29" i="28" s="1"/>
  <c r="T39" i="28"/>
  <c r="S39" i="28" s="1"/>
  <c r="V47" i="28"/>
  <c r="F9" i="28"/>
  <c r="F2" i="24"/>
  <c r="F3" i="24"/>
  <c r="F4" i="24"/>
  <c r="F5" i="24"/>
  <c r="F6" i="24"/>
  <c r="F7" i="24"/>
  <c r="F8" i="24"/>
  <c r="F9" i="24"/>
  <c r="F10" i="24"/>
  <c r="F11" i="24"/>
  <c r="D11" i="24" s="1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D24" i="24" s="1"/>
  <c r="E24" i="24" s="1"/>
  <c r="F25" i="24"/>
  <c r="D25" i="24" s="1"/>
  <c r="F26" i="24"/>
  <c r="F27" i="24"/>
  <c r="F28" i="24"/>
  <c r="F29" i="24"/>
  <c r="D29" i="24" s="1"/>
  <c r="F30" i="24"/>
  <c r="D30" i="24" s="1"/>
  <c r="F31" i="24"/>
  <c r="D31" i="24" s="1"/>
  <c r="F32" i="24"/>
  <c r="D32" i="24" s="1"/>
  <c r="F33" i="24"/>
  <c r="D9" i="24"/>
  <c r="E9" i="24" s="1"/>
  <c r="D12" i="24"/>
  <c r="D22" i="24"/>
  <c r="E22" i="24" s="1"/>
  <c r="J23" i="24"/>
  <c r="H23" i="24"/>
  <c r="H21" i="24"/>
  <c r="H19" i="24"/>
  <c r="H18" i="24"/>
  <c r="G18" i="24"/>
  <c r="H17" i="24"/>
  <c r="D17" i="24" s="1"/>
  <c r="H16" i="24"/>
  <c r="H14" i="24"/>
  <c r="H13" i="24"/>
  <c r="J12" i="24"/>
  <c r="H12" i="24"/>
  <c r="H11" i="24"/>
  <c r="H10" i="24"/>
  <c r="H9" i="24"/>
  <c r="J9" i="24"/>
  <c r="D14" i="24"/>
  <c r="E14" i="24" s="1"/>
  <c r="D15" i="24"/>
  <c r="D16" i="24"/>
  <c r="E16" i="24" s="1"/>
  <c r="D20" i="24"/>
  <c r="D21" i="24"/>
  <c r="E21" i="24" s="1"/>
  <c r="I7" i="24"/>
  <c r="H3" i="24"/>
  <c r="U14" i="24"/>
  <c r="K18" i="24"/>
  <c r="K22" i="24"/>
  <c r="H30" i="22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O47" i="24"/>
  <c r="O41" i="24"/>
  <c r="O40" i="24"/>
  <c r="T40" i="24" s="1"/>
  <c r="O39" i="24"/>
  <c r="U39" i="24" s="1"/>
  <c r="O38" i="24"/>
  <c r="V38" i="24" s="1"/>
  <c r="O37" i="24"/>
  <c r="V37" i="24" s="1"/>
  <c r="O36" i="24"/>
  <c r="V36" i="24" s="1"/>
  <c r="K33" i="24"/>
  <c r="M33" i="24"/>
  <c r="K32" i="24"/>
  <c r="I32" i="24"/>
  <c r="M32" i="24" s="1"/>
  <c r="O31" i="24"/>
  <c r="V31" i="24" s="1"/>
  <c r="K31" i="24"/>
  <c r="I31" i="24"/>
  <c r="M31" i="24" s="1"/>
  <c r="O30" i="24"/>
  <c r="V30" i="24" s="1"/>
  <c r="K30" i="24"/>
  <c r="I30" i="24"/>
  <c r="M30" i="24" s="1"/>
  <c r="O29" i="24"/>
  <c r="V29" i="24" s="1"/>
  <c r="I29" i="24"/>
  <c r="M29" i="24" s="1"/>
  <c r="O28" i="24"/>
  <c r="V28" i="24" s="1"/>
  <c r="K28" i="24"/>
  <c r="I28" i="24"/>
  <c r="D28" i="24"/>
  <c r="E28" i="24" s="1"/>
  <c r="O27" i="24"/>
  <c r="V27" i="24" s="1"/>
  <c r="M27" i="24"/>
  <c r="K27" i="24"/>
  <c r="D27" i="24"/>
  <c r="O26" i="24"/>
  <c r="V26" i="24" s="1"/>
  <c r="M26" i="24"/>
  <c r="K26" i="24"/>
  <c r="D26" i="24"/>
  <c r="O25" i="24"/>
  <c r="V25" i="24" s="1"/>
  <c r="M25" i="24"/>
  <c r="M24" i="24"/>
  <c r="M23" i="24"/>
  <c r="M22" i="24"/>
  <c r="M21" i="24"/>
  <c r="K21" i="24"/>
  <c r="O20" i="24"/>
  <c r="V20" i="24" s="1"/>
  <c r="M20" i="24"/>
  <c r="J20" i="24"/>
  <c r="O19" i="24"/>
  <c r="J19" i="24"/>
  <c r="K19" i="24" s="1"/>
  <c r="M19" i="24"/>
  <c r="O18" i="24"/>
  <c r="V18" i="24" s="1"/>
  <c r="M18" i="24"/>
  <c r="J18" i="24"/>
  <c r="O17" i="24"/>
  <c r="J17" i="24"/>
  <c r="M17" i="24"/>
  <c r="O16" i="24"/>
  <c r="J16" i="24"/>
  <c r="K16" i="24" s="1"/>
  <c r="M16" i="24"/>
  <c r="O15" i="24"/>
  <c r="J15" i="24"/>
  <c r="K15" i="24" s="1"/>
  <c r="M15" i="24"/>
  <c r="T14" i="24"/>
  <c r="O14" i="24"/>
  <c r="K14" i="24"/>
  <c r="M14" i="24"/>
  <c r="J13" i="24"/>
  <c r="K13" i="24" s="1"/>
  <c r="M13" i="24"/>
  <c r="V16" i="24"/>
  <c r="J11" i="24"/>
  <c r="M11" i="24"/>
  <c r="J10" i="24"/>
  <c r="K10" i="24" s="1"/>
  <c r="M10" i="24"/>
  <c r="T9" i="24"/>
  <c r="O9" i="24"/>
  <c r="M9" i="24"/>
  <c r="O8" i="24"/>
  <c r="J8" i="24"/>
  <c r="O7" i="24"/>
  <c r="J7" i="24"/>
  <c r="K7" i="24" s="1"/>
  <c r="M7" i="24"/>
  <c r="O6" i="24"/>
  <c r="J6" i="24"/>
  <c r="O5" i="24"/>
  <c r="J5" i="24"/>
  <c r="V5" i="24"/>
  <c r="U5" i="24"/>
  <c r="D5" i="24"/>
  <c r="O4" i="24"/>
  <c r="J4" i="24"/>
  <c r="K4" i="24" s="1"/>
  <c r="M4" i="24"/>
  <c r="D4" i="24"/>
  <c r="O3" i="24"/>
  <c r="A42" i="24" s="1"/>
  <c r="K3" i="24"/>
  <c r="V3" i="24"/>
  <c r="D3" i="24"/>
  <c r="C3" i="24" s="1"/>
  <c r="M2" i="24"/>
  <c r="K2" i="24"/>
  <c r="G8" i="22"/>
  <c r="T47" i="22" s="1"/>
  <c r="G7" i="22"/>
  <c r="H8" i="22"/>
  <c r="H7" i="22"/>
  <c r="H6" i="22"/>
  <c r="G6" i="22"/>
  <c r="H5" i="22"/>
  <c r="G5" i="22"/>
  <c r="J33" i="22"/>
  <c r="I33" i="22"/>
  <c r="J32" i="22"/>
  <c r="M32" i="22"/>
  <c r="J31" i="22"/>
  <c r="J30" i="22"/>
  <c r="K30" i="22" s="1"/>
  <c r="M30" i="22"/>
  <c r="J29" i="22"/>
  <c r="K29" i="22" s="1"/>
  <c r="M29" i="22"/>
  <c r="J28" i="22"/>
  <c r="K28" i="22" s="1"/>
  <c r="V40" i="22"/>
  <c r="J27" i="22"/>
  <c r="J26" i="22"/>
  <c r="M26" i="22"/>
  <c r="J25" i="22"/>
  <c r="K25" i="22" s="1"/>
  <c r="M25" i="22"/>
  <c r="J24" i="22"/>
  <c r="K24" i="22" s="1"/>
  <c r="J23" i="22"/>
  <c r="K23" i="22" s="1"/>
  <c r="M23" i="22"/>
  <c r="J22" i="22"/>
  <c r="K22" i="22" s="1"/>
  <c r="M22" i="22"/>
  <c r="J21" i="22"/>
  <c r="J20" i="22"/>
  <c r="M20" i="22"/>
  <c r="J19" i="22"/>
  <c r="K19" i="22" s="1"/>
  <c r="J18" i="22"/>
  <c r="K18" i="22" s="1"/>
  <c r="M18" i="22"/>
  <c r="J17" i="22"/>
  <c r="K17" i="22" s="1"/>
  <c r="V25" i="22"/>
  <c r="J16" i="22"/>
  <c r="K16" i="22" s="1"/>
  <c r="M16" i="22"/>
  <c r="J15" i="22"/>
  <c r="J14" i="22"/>
  <c r="M14" i="22"/>
  <c r="J13" i="22"/>
  <c r="K13" i="22" s="1"/>
  <c r="J12" i="22"/>
  <c r="K12" i="22" s="1"/>
  <c r="V16" i="22"/>
  <c r="J11" i="22"/>
  <c r="K11" i="22" s="1"/>
  <c r="M11" i="22"/>
  <c r="J10" i="22"/>
  <c r="K10" i="22" s="1"/>
  <c r="M10" i="22"/>
  <c r="J9" i="22"/>
  <c r="J8" i="22"/>
  <c r="J7" i="22"/>
  <c r="M7" i="22"/>
  <c r="J6" i="22"/>
  <c r="K6" i="22" s="1"/>
  <c r="M6" i="22"/>
  <c r="J5" i="22"/>
  <c r="K5" i="22" s="1"/>
  <c r="M5" i="22"/>
  <c r="J4" i="22"/>
  <c r="K4" i="22" s="1"/>
  <c r="M4" i="22"/>
  <c r="J3" i="22"/>
  <c r="K3" i="22" s="1"/>
  <c r="M3" i="22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U47" i="22"/>
  <c r="O47" i="22"/>
  <c r="O41" i="22"/>
  <c r="U40" i="22"/>
  <c r="T40" i="22"/>
  <c r="O40" i="22"/>
  <c r="O39" i="22"/>
  <c r="U39" i="22" s="1"/>
  <c r="O38" i="22"/>
  <c r="T38" i="22" s="1"/>
  <c r="O37" i="22"/>
  <c r="O36" i="22"/>
  <c r="T36" i="22" s="1"/>
  <c r="K33" i="22"/>
  <c r="M33" i="22"/>
  <c r="F33" i="22"/>
  <c r="K32" i="22"/>
  <c r="F32" i="22"/>
  <c r="D32" i="22" s="1"/>
  <c r="C32" i="22" s="1"/>
  <c r="O31" i="22"/>
  <c r="K31" i="22"/>
  <c r="M31" i="22"/>
  <c r="F31" i="22"/>
  <c r="D31" i="22" s="1"/>
  <c r="E31" i="22"/>
  <c r="U30" i="22"/>
  <c r="O30" i="22"/>
  <c r="T30" i="22" s="1"/>
  <c r="F30" i="22"/>
  <c r="D30" i="22" s="1"/>
  <c r="C30" i="22" s="1"/>
  <c r="E30" i="22"/>
  <c r="B30" i="22"/>
  <c r="V29" i="22"/>
  <c r="O29" i="22"/>
  <c r="T29" i="22" s="1"/>
  <c r="F29" i="22"/>
  <c r="D29" i="22" s="1"/>
  <c r="E29" i="22"/>
  <c r="U28" i="22"/>
  <c r="T28" i="22"/>
  <c r="O28" i="22"/>
  <c r="F28" i="22"/>
  <c r="D28" i="22" s="1"/>
  <c r="C28" i="22" s="1"/>
  <c r="B28" i="22"/>
  <c r="O27" i="22"/>
  <c r="V27" i="22" s="1"/>
  <c r="K27" i="22"/>
  <c r="M27" i="22"/>
  <c r="F27" i="22"/>
  <c r="D27" i="22" s="1"/>
  <c r="C27" i="22" s="1"/>
  <c r="U26" i="22"/>
  <c r="T26" i="22"/>
  <c r="O26" i="22"/>
  <c r="K26" i="22"/>
  <c r="F26" i="22"/>
  <c r="D26" i="22" s="1"/>
  <c r="C26" i="22" s="1"/>
  <c r="U25" i="22"/>
  <c r="O25" i="22"/>
  <c r="A40" i="22" s="1"/>
  <c r="F25" i="22"/>
  <c r="D25" i="22" s="1"/>
  <c r="C25" i="22" s="1"/>
  <c r="B25" i="22" s="1"/>
  <c r="F24" i="22"/>
  <c r="D24" i="22" s="1"/>
  <c r="C24" i="22" s="1"/>
  <c r="F23" i="22"/>
  <c r="D23" i="22"/>
  <c r="E23" i="22" s="1"/>
  <c r="C23" i="22"/>
  <c r="F22" i="22"/>
  <c r="D22" i="22"/>
  <c r="E22" i="22" s="1"/>
  <c r="C22" i="22"/>
  <c r="B22" i="22"/>
  <c r="K21" i="22"/>
  <c r="M21" i="22"/>
  <c r="F21" i="22"/>
  <c r="O20" i="22"/>
  <c r="T20" i="22" s="1"/>
  <c r="K20" i="22"/>
  <c r="F20" i="22"/>
  <c r="V19" i="22"/>
  <c r="O19" i="22"/>
  <c r="T19" i="22" s="1"/>
  <c r="M19" i="22"/>
  <c r="F19" i="22"/>
  <c r="O18" i="22"/>
  <c r="T18" i="22" s="1"/>
  <c r="F18" i="22"/>
  <c r="O17" i="22"/>
  <c r="T17" i="22" s="1"/>
  <c r="F17" i="22"/>
  <c r="O16" i="22"/>
  <c r="T16" i="22" s="1"/>
  <c r="F16" i="22"/>
  <c r="U15" i="22"/>
  <c r="O15" i="22"/>
  <c r="T15" i="22" s="1"/>
  <c r="K15" i="22"/>
  <c r="M15" i="22"/>
  <c r="F15" i="22"/>
  <c r="O14" i="22"/>
  <c r="U14" i="22" s="1"/>
  <c r="K14" i="22"/>
  <c r="F14" i="22"/>
  <c r="F13" i="22"/>
  <c r="D13" i="22"/>
  <c r="E13" i="22" s="1"/>
  <c r="F12" i="22"/>
  <c r="D12" i="22" s="1"/>
  <c r="C12" i="22" s="1"/>
  <c r="F11" i="22"/>
  <c r="D11" i="22" s="1"/>
  <c r="F10" i="22"/>
  <c r="O9" i="22"/>
  <c r="T9" i="22" s="1"/>
  <c r="K9" i="22"/>
  <c r="M9" i="22"/>
  <c r="F9" i="22"/>
  <c r="O8" i="22"/>
  <c r="T8" i="22" s="1"/>
  <c r="K8" i="22"/>
  <c r="F8" i="22"/>
  <c r="D8" i="22"/>
  <c r="C8" i="22" s="1"/>
  <c r="O7" i="22"/>
  <c r="T7" i="22" s="1"/>
  <c r="K7" i="22"/>
  <c r="F7" i="22"/>
  <c r="O6" i="22"/>
  <c r="T6" i="22" s="1"/>
  <c r="F6" i="22"/>
  <c r="O5" i="22"/>
  <c r="T5" i="22" s="1"/>
  <c r="F5" i="22"/>
  <c r="O4" i="22"/>
  <c r="T4" i="22" s="1"/>
  <c r="F4" i="22"/>
  <c r="D4" i="22" s="1"/>
  <c r="O3" i="22"/>
  <c r="F3" i="22"/>
  <c r="M2" i="22"/>
  <c r="K2" i="22"/>
  <c r="F2" i="22"/>
  <c r="D2" i="22" s="1"/>
  <c r="D85" i="21"/>
  <c r="D93" i="21"/>
  <c r="D92" i="21"/>
  <c r="D89" i="21"/>
  <c r="D88" i="21"/>
  <c r="D87" i="21"/>
  <c r="D86" i="21"/>
  <c r="D82" i="21"/>
  <c r="D81" i="21"/>
  <c r="D75" i="21"/>
  <c r="D74" i="21"/>
  <c r="D72" i="21"/>
  <c r="D64" i="21"/>
  <c r="D71" i="21"/>
  <c r="D66" i="21"/>
  <c r="D63" i="21"/>
  <c r="D62" i="21"/>
  <c r="D61" i="21"/>
  <c r="D58" i="21"/>
  <c r="D46" i="21"/>
  <c r="D45" i="21"/>
  <c r="D10" i="21"/>
  <c r="D11" i="21"/>
  <c r="D12" i="21"/>
  <c r="D43" i="21"/>
  <c r="D42" i="21"/>
  <c r="D38" i="21"/>
  <c r="D37" i="21"/>
  <c r="D36" i="21"/>
  <c r="D35" i="21"/>
  <c r="S41" i="28" l="1"/>
  <c r="Q41" i="28" s="1"/>
  <c r="P41" i="28" s="1"/>
  <c r="V32" i="28"/>
  <c r="I40" i="28" s="1"/>
  <c r="S18" i="28"/>
  <c r="Q18" i="28" s="1"/>
  <c r="P18" i="28" s="1"/>
  <c r="K34" i="28"/>
  <c r="S36" i="28"/>
  <c r="Q36" i="28" s="1"/>
  <c r="P36" i="28" s="1"/>
  <c r="T21" i="28"/>
  <c r="G39" i="28" s="1"/>
  <c r="S16" i="28"/>
  <c r="Q16" i="28" s="1"/>
  <c r="P16" i="28" s="1"/>
  <c r="Q19" i="28"/>
  <c r="P19" i="28" s="1"/>
  <c r="S17" i="28"/>
  <c r="Q17" i="28" s="1"/>
  <c r="P17" i="28" s="1"/>
  <c r="S38" i="28"/>
  <c r="Q38" i="28" s="1"/>
  <c r="P38" i="28" s="1"/>
  <c r="U42" i="28"/>
  <c r="H41" i="28" s="1"/>
  <c r="T42" i="28"/>
  <c r="G41" i="28" s="1"/>
  <c r="S15" i="28"/>
  <c r="Q15" i="28" s="1"/>
  <c r="P15" i="28" s="1"/>
  <c r="S47" i="28"/>
  <c r="R26" i="28"/>
  <c r="R30" i="28"/>
  <c r="R4" i="28"/>
  <c r="Q7" i="28"/>
  <c r="P7" i="28" s="1"/>
  <c r="Q31" i="28"/>
  <c r="P31" i="28" s="1"/>
  <c r="U10" i="28"/>
  <c r="H38" i="28" s="1"/>
  <c r="S3" i="28"/>
  <c r="C19" i="28"/>
  <c r="C18" i="28"/>
  <c r="B18" i="28" s="1"/>
  <c r="L6" i="28"/>
  <c r="S5" i="28"/>
  <c r="C25" i="28"/>
  <c r="B25" i="28"/>
  <c r="R9" i="28"/>
  <c r="E18" i="28"/>
  <c r="D28" i="28"/>
  <c r="E28" i="28" s="1"/>
  <c r="Q20" i="28"/>
  <c r="P20" i="28" s="1"/>
  <c r="B26" i="28"/>
  <c r="L26" i="28" s="1"/>
  <c r="C3" i="28"/>
  <c r="B3" i="28" s="1"/>
  <c r="R37" i="28"/>
  <c r="D10" i="28"/>
  <c r="U32" i="28"/>
  <c r="H40" i="28" s="1"/>
  <c r="S25" i="28"/>
  <c r="Q39" i="28"/>
  <c r="P39" i="28" s="1"/>
  <c r="U21" i="28"/>
  <c r="H39" i="28" s="1"/>
  <c r="S14" i="28"/>
  <c r="F34" i="28"/>
  <c r="T32" i="28"/>
  <c r="G40" i="28" s="1"/>
  <c r="C11" i="28"/>
  <c r="B11" i="28"/>
  <c r="Q28" i="28"/>
  <c r="P28" i="28" s="1"/>
  <c r="B21" i="28"/>
  <c r="L21" i="28" s="1"/>
  <c r="Q8" i="28"/>
  <c r="P8" i="28" s="1"/>
  <c r="R6" i="28"/>
  <c r="L2" i="28"/>
  <c r="C29" i="28"/>
  <c r="B29" i="28" s="1"/>
  <c r="V42" i="28"/>
  <c r="I41" i="28" s="1"/>
  <c r="C8" i="28"/>
  <c r="B8" i="28" s="1"/>
  <c r="T10" i="28"/>
  <c r="G38" i="28" s="1"/>
  <c r="C33" i="28"/>
  <c r="B33" i="28"/>
  <c r="C23" i="28"/>
  <c r="E23" i="28"/>
  <c r="R27" i="28"/>
  <c r="C7" i="28"/>
  <c r="D32" i="28"/>
  <c r="E32" i="28" s="1"/>
  <c r="D14" i="28"/>
  <c r="E14" i="28" s="1"/>
  <c r="D31" i="28"/>
  <c r="E31" i="28" s="1"/>
  <c r="R40" i="28"/>
  <c r="L24" i="28"/>
  <c r="D9" i="28"/>
  <c r="D30" i="28"/>
  <c r="E30" i="28" s="1"/>
  <c r="V10" i="28"/>
  <c r="I38" i="28" s="1"/>
  <c r="R29" i="28"/>
  <c r="E25" i="28"/>
  <c r="L13" i="28"/>
  <c r="D18" i="24"/>
  <c r="E18" i="24" s="1"/>
  <c r="U47" i="24"/>
  <c r="K17" i="24"/>
  <c r="C9" i="24"/>
  <c r="B9" i="24" s="1"/>
  <c r="L9" i="24" s="1"/>
  <c r="E25" i="24"/>
  <c r="C25" i="24"/>
  <c r="E11" i="24"/>
  <c r="C11" i="24"/>
  <c r="B11" i="24" s="1"/>
  <c r="L11" i="24" s="1"/>
  <c r="E32" i="24"/>
  <c r="C32" i="24"/>
  <c r="B32" i="24" s="1"/>
  <c r="U16" i="24"/>
  <c r="K25" i="24"/>
  <c r="K9" i="24"/>
  <c r="U9" i="24"/>
  <c r="S9" i="24" s="1"/>
  <c r="Q9" i="24" s="1"/>
  <c r="P9" i="24" s="1"/>
  <c r="U17" i="24"/>
  <c r="K23" i="24"/>
  <c r="K5" i="24"/>
  <c r="D10" i="24"/>
  <c r="E10" i="24" s="1"/>
  <c r="K29" i="24"/>
  <c r="K11" i="24"/>
  <c r="S14" i="24"/>
  <c r="Q14" i="24" s="1"/>
  <c r="K20" i="24"/>
  <c r="K12" i="24"/>
  <c r="K8" i="24"/>
  <c r="U15" i="24"/>
  <c r="K24" i="24"/>
  <c r="M5" i="24"/>
  <c r="E30" i="24"/>
  <c r="C30" i="24"/>
  <c r="B30" i="24" s="1"/>
  <c r="L30" i="24" s="1"/>
  <c r="C28" i="24"/>
  <c r="T16" i="24"/>
  <c r="T37" i="24"/>
  <c r="V6" i="24"/>
  <c r="U37" i="24"/>
  <c r="T20" i="24"/>
  <c r="U40" i="24"/>
  <c r="S40" i="24" s="1"/>
  <c r="Q40" i="24" s="1"/>
  <c r="P40" i="24" s="1"/>
  <c r="V40" i="24"/>
  <c r="U36" i="24"/>
  <c r="T27" i="24"/>
  <c r="T18" i="24"/>
  <c r="U20" i="24"/>
  <c r="U27" i="24"/>
  <c r="U18" i="24"/>
  <c r="T25" i="24"/>
  <c r="T29" i="24"/>
  <c r="T15" i="24"/>
  <c r="U25" i="24"/>
  <c r="U29" i="24"/>
  <c r="V39" i="24"/>
  <c r="V15" i="24"/>
  <c r="T17" i="24"/>
  <c r="T31" i="24"/>
  <c r="V17" i="24"/>
  <c r="U31" i="24"/>
  <c r="T36" i="24"/>
  <c r="K6" i="24"/>
  <c r="M8" i="24"/>
  <c r="A39" i="24"/>
  <c r="U3" i="24"/>
  <c r="V41" i="24"/>
  <c r="M3" i="24"/>
  <c r="E5" i="24"/>
  <c r="V7" i="24"/>
  <c r="U7" i="24"/>
  <c r="T7" i="24"/>
  <c r="D13" i="24"/>
  <c r="E13" i="24" s="1"/>
  <c r="C29" i="24"/>
  <c r="B29" i="24"/>
  <c r="V32" i="24"/>
  <c r="I40" i="24" s="1"/>
  <c r="E4" i="24"/>
  <c r="C4" i="24"/>
  <c r="B3" i="24"/>
  <c r="L3" i="24" s="1"/>
  <c r="U6" i="24"/>
  <c r="V19" i="24"/>
  <c r="E3" i="24"/>
  <c r="D2" i="24"/>
  <c r="E2" i="24" s="1"/>
  <c r="C31" i="24"/>
  <c r="B31" i="24" s="1"/>
  <c r="T6" i="24"/>
  <c r="D7" i="24"/>
  <c r="E7" i="24" s="1"/>
  <c r="E20" i="24"/>
  <c r="C20" i="24"/>
  <c r="E26" i="24"/>
  <c r="C26" i="24"/>
  <c r="B26" i="24" s="1"/>
  <c r="V9" i="24"/>
  <c r="E12" i="24"/>
  <c r="C12" i="24"/>
  <c r="B12" i="24" s="1"/>
  <c r="E17" i="24"/>
  <c r="C17" i="24"/>
  <c r="C22" i="24"/>
  <c r="B22" i="24"/>
  <c r="D23" i="24"/>
  <c r="E15" i="24"/>
  <c r="C15" i="24"/>
  <c r="V47" i="24"/>
  <c r="V4" i="24"/>
  <c r="U4" i="24"/>
  <c r="T4" i="24"/>
  <c r="C5" i="24"/>
  <c r="M6" i="24"/>
  <c r="C27" i="24"/>
  <c r="B27" i="24" s="1"/>
  <c r="E27" i="24"/>
  <c r="T3" i="24"/>
  <c r="M12" i="24"/>
  <c r="C14" i="24"/>
  <c r="B14" i="24" s="1"/>
  <c r="C16" i="24"/>
  <c r="B25" i="24"/>
  <c r="L25" i="24" s="1"/>
  <c r="M28" i="24"/>
  <c r="E29" i="24"/>
  <c r="E31" i="24"/>
  <c r="A40" i="24"/>
  <c r="T5" i="24"/>
  <c r="S5" i="24" s="1"/>
  <c r="T8" i="24"/>
  <c r="U8" i="24"/>
  <c r="A38" i="24"/>
  <c r="V8" i="24"/>
  <c r="V14" i="24"/>
  <c r="C21" i="24"/>
  <c r="B21" i="24" s="1"/>
  <c r="C24" i="24"/>
  <c r="T38" i="24"/>
  <c r="D19" i="24"/>
  <c r="E19" i="24" s="1"/>
  <c r="T28" i="24"/>
  <c r="T30" i="24"/>
  <c r="U38" i="24"/>
  <c r="A41" i="24"/>
  <c r="T19" i="24"/>
  <c r="T26" i="24"/>
  <c r="U28" i="24"/>
  <c r="U30" i="24"/>
  <c r="T41" i="24"/>
  <c r="T47" i="24"/>
  <c r="U19" i="24"/>
  <c r="U26" i="24"/>
  <c r="U41" i="24"/>
  <c r="D33" i="24"/>
  <c r="E33" i="24" s="1"/>
  <c r="T39" i="24"/>
  <c r="S39" i="24" s="1"/>
  <c r="E32" i="22"/>
  <c r="B8" i="22"/>
  <c r="S40" i="22"/>
  <c r="Q40" i="22" s="1"/>
  <c r="P40" i="22" s="1"/>
  <c r="A41" i="22"/>
  <c r="V9" i="22"/>
  <c r="U20" i="22"/>
  <c r="S20" i="22" s="1"/>
  <c r="V18" i="22"/>
  <c r="T27" i="22"/>
  <c r="U36" i="22"/>
  <c r="S36" i="22" s="1"/>
  <c r="Q36" i="22" s="1"/>
  <c r="T25" i="22"/>
  <c r="S25" i="22" s="1"/>
  <c r="U27" i="22"/>
  <c r="U29" i="22"/>
  <c r="S29" i="22" s="1"/>
  <c r="Q29" i="22" s="1"/>
  <c r="P29" i="22" s="1"/>
  <c r="V17" i="22"/>
  <c r="V36" i="22"/>
  <c r="U8" i="22"/>
  <c r="S8" i="22" s="1"/>
  <c r="Q8" i="22" s="1"/>
  <c r="P8" i="22" s="1"/>
  <c r="V39" i="22"/>
  <c r="U18" i="22"/>
  <c r="S18" i="22" s="1"/>
  <c r="V8" i="22"/>
  <c r="U16" i="22"/>
  <c r="S16" i="22" s="1"/>
  <c r="U19" i="22"/>
  <c r="S19" i="22" s="1"/>
  <c r="U17" i="22"/>
  <c r="S17" i="22" s="1"/>
  <c r="U9" i="22"/>
  <c r="S9" i="22" s="1"/>
  <c r="E11" i="22"/>
  <c r="C11" i="22"/>
  <c r="B11" i="22"/>
  <c r="C4" i="22"/>
  <c r="B4" i="22"/>
  <c r="B26" i="22"/>
  <c r="B32" i="22"/>
  <c r="L32" i="22" s="1"/>
  <c r="E24" i="22"/>
  <c r="B27" i="22"/>
  <c r="L27" i="22" s="1"/>
  <c r="S26" i="22"/>
  <c r="Q26" i="22" s="1"/>
  <c r="P26" i="22" s="1"/>
  <c r="S28" i="22"/>
  <c r="Q28" i="22" s="1"/>
  <c r="P28" i="22" s="1"/>
  <c r="S30" i="22"/>
  <c r="Q30" i="22" s="1"/>
  <c r="P30" i="22" s="1"/>
  <c r="V3" i="22"/>
  <c r="M12" i="22"/>
  <c r="V26" i="22"/>
  <c r="V30" i="22"/>
  <c r="V14" i="22"/>
  <c r="M17" i="22"/>
  <c r="M13" i="22"/>
  <c r="V28" i="22"/>
  <c r="V37" i="22"/>
  <c r="V20" i="22"/>
  <c r="V31" i="22"/>
  <c r="V15" i="22"/>
  <c r="L22" i="22"/>
  <c r="M24" i="22"/>
  <c r="L11" i="22"/>
  <c r="B2" i="22"/>
  <c r="E2" i="22"/>
  <c r="K34" i="22"/>
  <c r="D10" i="22"/>
  <c r="E10" i="22" s="1"/>
  <c r="D14" i="22"/>
  <c r="D15" i="22"/>
  <c r="E15" i="22" s="1"/>
  <c r="D16" i="22"/>
  <c r="D17" i="22"/>
  <c r="D18" i="22"/>
  <c r="E18" i="22" s="1"/>
  <c r="D19" i="22"/>
  <c r="E19" i="22" s="1"/>
  <c r="D20" i="22"/>
  <c r="D21" i="22"/>
  <c r="E25" i="22"/>
  <c r="E26" i="22"/>
  <c r="E27" i="22"/>
  <c r="E28" i="22"/>
  <c r="C29" i="22"/>
  <c r="A42" i="22"/>
  <c r="T3" i="22"/>
  <c r="L8" i="22"/>
  <c r="S47" i="22"/>
  <c r="E8" i="22"/>
  <c r="M8" i="22"/>
  <c r="V47" i="22"/>
  <c r="D9" i="22"/>
  <c r="E9" i="22" s="1"/>
  <c r="B24" i="22"/>
  <c r="L24" i="22" s="1"/>
  <c r="J34" i="22"/>
  <c r="T37" i="22"/>
  <c r="V41" i="22"/>
  <c r="U41" i="22"/>
  <c r="T41" i="22"/>
  <c r="D7" i="22"/>
  <c r="E7" i="22" s="1"/>
  <c r="C31" i="22"/>
  <c r="B31" i="22" s="1"/>
  <c r="U4" i="22"/>
  <c r="S4" i="22" s="1"/>
  <c r="L26" i="22"/>
  <c r="F34" i="22"/>
  <c r="G35" i="22" s="1"/>
  <c r="G36" i="22" s="1"/>
  <c r="D3" i="22"/>
  <c r="E3" i="22" s="1"/>
  <c r="U5" i="22"/>
  <c r="S5" i="22" s="1"/>
  <c r="V38" i="22"/>
  <c r="V5" i="22"/>
  <c r="E4" i="22"/>
  <c r="U6" i="22"/>
  <c r="S6" i="22" s="1"/>
  <c r="A39" i="22"/>
  <c r="T14" i="22"/>
  <c r="S15" i="22"/>
  <c r="M28" i="22"/>
  <c r="T31" i="22"/>
  <c r="U37" i="22"/>
  <c r="E12" i="22"/>
  <c r="L30" i="22"/>
  <c r="L25" i="22"/>
  <c r="L28" i="22"/>
  <c r="U38" i="22"/>
  <c r="S38" i="22" s="1"/>
  <c r="I34" i="22"/>
  <c r="C13" i="22"/>
  <c r="B13" i="22"/>
  <c r="D5" i="22"/>
  <c r="V6" i="22"/>
  <c r="U7" i="22"/>
  <c r="S7" i="22" s="1"/>
  <c r="B12" i="22"/>
  <c r="L12" i="22" s="1"/>
  <c r="U31" i="22"/>
  <c r="U3" i="22"/>
  <c r="V4" i="22"/>
  <c r="D6" i="22"/>
  <c r="E6" i="22" s="1"/>
  <c r="V7" i="22"/>
  <c r="B23" i="22"/>
  <c r="L23" i="22" s="1"/>
  <c r="D33" i="22"/>
  <c r="A38" i="22"/>
  <c r="T39" i="22"/>
  <c r="S39" i="22" s="1"/>
  <c r="D26" i="21"/>
  <c r="D25" i="21"/>
  <c r="D14" i="21"/>
  <c r="D13" i="21"/>
  <c r="D9" i="21"/>
  <c r="D8" i="21"/>
  <c r="R41" i="28" l="1"/>
  <c r="R20" i="28"/>
  <c r="R36" i="28"/>
  <c r="S42" i="28"/>
  <c r="F41" i="28" s="1"/>
  <c r="D34" i="28"/>
  <c r="D35" i="28" s="1"/>
  <c r="D36" i="28" s="1"/>
  <c r="G42" i="28"/>
  <c r="R19" i="28"/>
  <c r="R18" i="28"/>
  <c r="R7" i="28"/>
  <c r="R31" i="28"/>
  <c r="R15" i="28"/>
  <c r="I42" i="28"/>
  <c r="R8" i="28"/>
  <c r="R17" i="28"/>
  <c r="Q3" i="28"/>
  <c r="R3" i="28" s="1"/>
  <c r="S10" i="28"/>
  <c r="F38" i="28" s="1"/>
  <c r="B7" i="28"/>
  <c r="R28" i="28"/>
  <c r="H42" i="28"/>
  <c r="C9" i="28"/>
  <c r="B9" i="28"/>
  <c r="E34" i="28"/>
  <c r="E9" i="28"/>
  <c r="C10" i="28"/>
  <c r="B10" i="28" s="1"/>
  <c r="L25" i="28"/>
  <c r="B19" i="28"/>
  <c r="L19" i="28" s="1"/>
  <c r="L11" i="28"/>
  <c r="E10" i="28"/>
  <c r="Q5" i="28"/>
  <c r="P5" i="28" s="1"/>
  <c r="R38" i="28"/>
  <c r="C32" i="28"/>
  <c r="B32" i="28" s="1"/>
  <c r="G34" i="28"/>
  <c r="Q47" i="28"/>
  <c r="Q48" i="28" s="1"/>
  <c r="B23" i="28"/>
  <c r="L23" i="28" s="1"/>
  <c r="P42" i="28"/>
  <c r="C30" i="28"/>
  <c r="B30" i="28"/>
  <c r="L29" i="28"/>
  <c r="H34" i="28"/>
  <c r="F36" i="28"/>
  <c r="G35" i="28"/>
  <c r="G36" i="28" s="1"/>
  <c r="Q42" i="28"/>
  <c r="C31" i="28"/>
  <c r="B31" i="28" s="1"/>
  <c r="S21" i="28"/>
  <c r="F39" i="28" s="1"/>
  <c r="Q14" i="28"/>
  <c r="R14" i="28" s="1"/>
  <c r="L3" i="28"/>
  <c r="C28" i="28"/>
  <c r="B28" i="28"/>
  <c r="L8" i="28"/>
  <c r="R39" i="28"/>
  <c r="Q25" i="28"/>
  <c r="R25" i="28" s="1"/>
  <c r="S32" i="28"/>
  <c r="F40" i="28" s="1"/>
  <c r="C14" i="28"/>
  <c r="B14" i="28" s="1"/>
  <c r="L33" i="28"/>
  <c r="R16" i="28"/>
  <c r="L18" i="28"/>
  <c r="S4" i="24"/>
  <c r="Q4" i="24" s="1"/>
  <c r="P4" i="24" s="1"/>
  <c r="S47" i="24"/>
  <c r="C10" i="24"/>
  <c r="B10" i="24" s="1"/>
  <c r="K34" i="24"/>
  <c r="L32" i="24"/>
  <c r="S15" i="24"/>
  <c r="Q15" i="24" s="1"/>
  <c r="P15" i="24" s="1"/>
  <c r="V42" i="24"/>
  <c r="I41" i="24" s="1"/>
  <c r="D8" i="24"/>
  <c r="E8" i="24" s="1"/>
  <c r="S17" i="24"/>
  <c r="Q17" i="24" s="1"/>
  <c r="P17" i="24" s="1"/>
  <c r="S16" i="24"/>
  <c r="Q16" i="24" s="1"/>
  <c r="P16" i="24" s="1"/>
  <c r="C18" i="24"/>
  <c r="B18" i="24" s="1"/>
  <c r="L18" i="24" s="1"/>
  <c r="S6" i="24"/>
  <c r="Q6" i="24" s="1"/>
  <c r="P6" i="24" s="1"/>
  <c r="S20" i="24"/>
  <c r="Q20" i="24" s="1"/>
  <c r="P20" i="24" s="1"/>
  <c r="U21" i="24"/>
  <c r="H39" i="24" s="1"/>
  <c r="S27" i="24"/>
  <c r="Q27" i="24" s="1"/>
  <c r="P27" i="24" s="1"/>
  <c r="B28" i="24"/>
  <c r="L28" i="24" s="1"/>
  <c r="M34" i="24"/>
  <c r="U32" i="24"/>
  <c r="H40" i="24" s="1"/>
  <c r="S29" i="24"/>
  <c r="Q29" i="24" s="1"/>
  <c r="P29" i="24" s="1"/>
  <c r="T21" i="24"/>
  <c r="G39" i="24" s="1"/>
  <c r="R9" i="24"/>
  <c r="S36" i="24"/>
  <c r="Q36" i="24" s="1"/>
  <c r="P36" i="24" s="1"/>
  <c r="S37" i="24"/>
  <c r="Q37" i="24" s="1"/>
  <c r="P37" i="24" s="1"/>
  <c r="S25" i="24"/>
  <c r="U42" i="24"/>
  <c r="H41" i="24" s="1"/>
  <c r="S28" i="24"/>
  <c r="Q28" i="24" s="1"/>
  <c r="P28" i="24" s="1"/>
  <c r="S31" i="24"/>
  <c r="Q31" i="24" s="1"/>
  <c r="P31" i="24" s="1"/>
  <c r="S18" i="24"/>
  <c r="S41" i="24"/>
  <c r="Q41" i="24" s="1"/>
  <c r="P41" i="24" s="1"/>
  <c r="S38" i="24"/>
  <c r="S26" i="24"/>
  <c r="Q26" i="24" s="1"/>
  <c r="V10" i="24"/>
  <c r="I38" i="24" s="1"/>
  <c r="U10" i="24"/>
  <c r="H38" i="24" s="1"/>
  <c r="P14" i="24"/>
  <c r="B17" i="24"/>
  <c r="L17" i="24" s="1"/>
  <c r="Q47" i="24"/>
  <c r="Q48" i="24" s="1"/>
  <c r="C23" i="24"/>
  <c r="B23" i="24" s="1"/>
  <c r="Q5" i="24"/>
  <c r="P5" i="24" s="1"/>
  <c r="L14" i="24"/>
  <c r="E23" i="24"/>
  <c r="L29" i="24"/>
  <c r="L21" i="24"/>
  <c r="V21" i="24"/>
  <c r="I39" i="24" s="1"/>
  <c r="L10" i="24"/>
  <c r="L27" i="24"/>
  <c r="B5" i="24"/>
  <c r="L5" i="24" s="1"/>
  <c r="L12" i="24"/>
  <c r="B2" i="24"/>
  <c r="C13" i="24"/>
  <c r="B13" i="24" s="1"/>
  <c r="T42" i="24"/>
  <c r="G41" i="24" s="1"/>
  <c r="S7" i="24"/>
  <c r="R14" i="24"/>
  <c r="C7" i="24"/>
  <c r="B7" i="24" s="1"/>
  <c r="Q39" i="24"/>
  <c r="P39" i="24" s="1"/>
  <c r="L22" i="24"/>
  <c r="D6" i="24"/>
  <c r="F34" i="24"/>
  <c r="C19" i="24"/>
  <c r="B19" i="24" s="1"/>
  <c r="L31" i="24"/>
  <c r="S8" i="24"/>
  <c r="T32" i="24"/>
  <c r="G40" i="24" s="1"/>
  <c r="S19" i="24"/>
  <c r="T10" i="24"/>
  <c r="G38" i="24" s="1"/>
  <c r="S3" i="24"/>
  <c r="C33" i="24"/>
  <c r="B33" i="24" s="1"/>
  <c r="S30" i="24"/>
  <c r="B24" i="24"/>
  <c r="L24" i="24" s="1"/>
  <c r="B16" i="24"/>
  <c r="L16" i="24" s="1"/>
  <c r="B15" i="24"/>
  <c r="L15" i="24" s="1"/>
  <c r="R40" i="24"/>
  <c r="L26" i="24"/>
  <c r="B4" i="24"/>
  <c r="L4" i="24" s="1"/>
  <c r="B20" i="24"/>
  <c r="L20" i="24" s="1"/>
  <c r="U21" i="22"/>
  <c r="H39" i="22" s="1"/>
  <c r="L4" i="22"/>
  <c r="R36" i="22"/>
  <c r="P36" i="22"/>
  <c r="S27" i="22"/>
  <c r="U32" i="22"/>
  <c r="H40" i="22" s="1"/>
  <c r="R28" i="22"/>
  <c r="V42" i="22"/>
  <c r="I41" i="22" s="1"/>
  <c r="Q47" i="22"/>
  <c r="Q48" i="22" s="1"/>
  <c r="R29" i="22"/>
  <c r="R26" i="22"/>
  <c r="V32" i="22"/>
  <c r="I40" i="22" s="1"/>
  <c r="S41" i="22"/>
  <c r="Q41" i="22" s="1"/>
  <c r="P41" i="22" s="1"/>
  <c r="V10" i="22"/>
  <c r="I38" i="22" s="1"/>
  <c r="M34" i="22"/>
  <c r="U10" i="22"/>
  <c r="H38" i="22" s="1"/>
  <c r="V21" i="22"/>
  <c r="I39" i="22" s="1"/>
  <c r="Q5" i="22"/>
  <c r="P5" i="22" s="1"/>
  <c r="Q7" i="22"/>
  <c r="P7" i="22" s="1"/>
  <c r="Q38" i="22"/>
  <c r="P38" i="22" s="1"/>
  <c r="Q16" i="22"/>
  <c r="P16" i="22" s="1"/>
  <c r="Q39" i="22"/>
  <c r="P39" i="22" s="1"/>
  <c r="Q15" i="22"/>
  <c r="P15" i="22" s="1"/>
  <c r="T21" i="22"/>
  <c r="G39" i="22" s="1"/>
  <c r="S14" i="22"/>
  <c r="C33" i="22"/>
  <c r="B33" i="22"/>
  <c r="Q9" i="22"/>
  <c r="P9" i="22" s="1"/>
  <c r="C21" i="22"/>
  <c r="E21" i="22"/>
  <c r="Q19" i="22"/>
  <c r="P19" i="22" s="1"/>
  <c r="Q18" i="22"/>
  <c r="P18" i="22" s="1"/>
  <c r="C3" i="22"/>
  <c r="B3" i="22"/>
  <c r="C18" i="22"/>
  <c r="B18" i="22" s="1"/>
  <c r="H34" i="22"/>
  <c r="Q17" i="22"/>
  <c r="P17" i="22" s="1"/>
  <c r="B29" i="22"/>
  <c r="L29" i="22" s="1"/>
  <c r="Q4" i="22"/>
  <c r="P4" i="22" s="1"/>
  <c r="D34" i="22"/>
  <c r="D35" i="22" s="1"/>
  <c r="D36" i="22" s="1"/>
  <c r="E34" i="22"/>
  <c r="C16" i="22"/>
  <c r="B16" i="22"/>
  <c r="R30" i="22"/>
  <c r="C5" i="22"/>
  <c r="S37" i="22"/>
  <c r="T42" i="22"/>
  <c r="G41" i="22" s="1"/>
  <c r="E16" i="22"/>
  <c r="R40" i="22"/>
  <c r="E33" i="22"/>
  <c r="E5" i="22"/>
  <c r="U42" i="22"/>
  <c r="H41" i="22" s="1"/>
  <c r="L13" i="22"/>
  <c r="S3" i="22"/>
  <c r="T10" i="22"/>
  <c r="G38" i="22" s="1"/>
  <c r="C20" i="22"/>
  <c r="C14" i="22"/>
  <c r="B14" i="22"/>
  <c r="R8" i="22"/>
  <c r="E20" i="22"/>
  <c r="E14" i="22"/>
  <c r="Q25" i="22"/>
  <c r="C7" i="22"/>
  <c r="L2" i="22"/>
  <c r="C17" i="22"/>
  <c r="B17" i="22" s="1"/>
  <c r="Q6" i="22"/>
  <c r="P6" i="22" s="1"/>
  <c r="E17" i="22"/>
  <c r="L31" i="22"/>
  <c r="C15" i="22"/>
  <c r="B15" i="22" s="1"/>
  <c r="S31" i="22"/>
  <c r="C6" i="22"/>
  <c r="B6" i="22" s="1"/>
  <c r="Q20" i="22"/>
  <c r="P20" i="22" s="1"/>
  <c r="C9" i="22"/>
  <c r="B9" i="22"/>
  <c r="T32" i="22"/>
  <c r="G40" i="22" s="1"/>
  <c r="C19" i="22"/>
  <c r="B19" i="22" s="1"/>
  <c r="C10" i="22"/>
  <c r="B10" i="22" s="1"/>
  <c r="G34" i="22"/>
  <c r="J23" i="4"/>
  <c r="E3" i="4"/>
  <c r="E8" i="4"/>
  <c r="D2" i="21"/>
  <c r="D3" i="21"/>
  <c r="D4" i="21"/>
  <c r="D5" i="21"/>
  <c r="D6" i="21"/>
  <c r="D7" i="21"/>
  <c r="D15" i="21"/>
  <c r="D16" i="21"/>
  <c r="D17" i="21"/>
  <c r="D18" i="21"/>
  <c r="D19" i="21"/>
  <c r="D20" i="21"/>
  <c r="D21" i="21"/>
  <c r="D22" i="21"/>
  <c r="D23" i="21"/>
  <c r="D24" i="21"/>
  <c r="D27" i="21"/>
  <c r="D28" i="21"/>
  <c r="D29" i="21"/>
  <c r="D30" i="21"/>
  <c r="D31" i="21"/>
  <c r="D32" i="21"/>
  <c r="D33" i="21"/>
  <c r="D34" i="21"/>
  <c r="D39" i="21"/>
  <c r="D40" i="21"/>
  <c r="D41" i="21"/>
  <c r="D44" i="21"/>
  <c r="D47" i="21"/>
  <c r="D48" i="21"/>
  <c r="D49" i="21"/>
  <c r="D50" i="21"/>
  <c r="D51" i="21"/>
  <c r="D52" i="21"/>
  <c r="D53" i="21"/>
  <c r="D54" i="21"/>
  <c r="D55" i="21"/>
  <c r="D56" i="21"/>
  <c r="D57" i="21"/>
  <c r="D59" i="21"/>
  <c r="D60" i="21"/>
  <c r="D65" i="21"/>
  <c r="D67" i="21"/>
  <c r="D68" i="21"/>
  <c r="D69" i="21"/>
  <c r="D70" i="21"/>
  <c r="D73" i="21"/>
  <c r="D76" i="21"/>
  <c r="D77" i="21"/>
  <c r="D78" i="21"/>
  <c r="D79" i="21"/>
  <c r="D80" i="21"/>
  <c r="D83" i="21"/>
  <c r="D84" i="21"/>
  <c r="D90" i="21"/>
  <c r="D91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J33" i="20"/>
  <c r="I33" i="20"/>
  <c r="M33" i="20" s="1"/>
  <c r="J32" i="20"/>
  <c r="K32" i="20" s="1"/>
  <c r="I32" i="20"/>
  <c r="M32" i="20" s="1"/>
  <c r="J31" i="20"/>
  <c r="K31" i="20" s="1"/>
  <c r="I31" i="20"/>
  <c r="M31" i="20" s="1"/>
  <c r="J30" i="20"/>
  <c r="K30" i="20" s="1"/>
  <c r="I30" i="20"/>
  <c r="M30" i="20" s="1"/>
  <c r="J29" i="20"/>
  <c r="K29" i="20" s="1"/>
  <c r="I29" i="20"/>
  <c r="M29" i="20" s="1"/>
  <c r="J28" i="20"/>
  <c r="K28" i="20" s="1"/>
  <c r="I28" i="20"/>
  <c r="M28" i="20" s="1"/>
  <c r="J27" i="20"/>
  <c r="I27" i="20"/>
  <c r="M27" i="20" s="1"/>
  <c r="J26" i="20"/>
  <c r="K26" i="20" s="1"/>
  <c r="I26" i="20"/>
  <c r="M26" i="20" s="1"/>
  <c r="J25" i="20"/>
  <c r="K25" i="20" s="1"/>
  <c r="I25" i="20"/>
  <c r="M25" i="20" s="1"/>
  <c r="J24" i="20"/>
  <c r="K24" i="20" s="1"/>
  <c r="I24" i="20"/>
  <c r="J23" i="20"/>
  <c r="K23" i="20" s="1"/>
  <c r="I23" i="20"/>
  <c r="M23" i="20" s="1"/>
  <c r="J22" i="20"/>
  <c r="K22" i="20" s="1"/>
  <c r="I22" i="20"/>
  <c r="M22" i="20" s="1"/>
  <c r="J21" i="20"/>
  <c r="K21" i="20" s="1"/>
  <c r="I21" i="20"/>
  <c r="V29" i="20" s="1"/>
  <c r="J20" i="20"/>
  <c r="K20" i="20" s="1"/>
  <c r="I20" i="20"/>
  <c r="M20" i="20" s="1"/>
  <c r="J19" i="20"/>
  <c r="K19" i="20" s="1"/>
  <c r="I19" i="20"/>
  <c r="M19" i="20" s="1"/>
  <c r="J18" i="20"/>
  <c r="K18" i="20" s="1"/>
  <c r="I18" i="20"/>
  <c r="M18" i="20" s="1"/>
  <c r="J17" i="20"/>
  <c r="K17" i="20" s="1"/>
  <c r="I17" i="20"/>
  <c r="V25" i="20" s="1"/>
  <c r="J16" i="20"/>
  <c r="K16" i="20" s="1"/>
  <c r="I16" i="20"/>
  <c r="M16" i="20" s="1"/>
  <c r="J15" i="20"/>
  <c r="I15" i="20"/>
  <c r="M15" i="20" s="1"/>
  <c r="J14" i="20"/>
  <c r="K14" i="20" s="1"/>
  <c r="I14" i="20"/>
  <c r="J13" i="20"/>
  <c r="K13" i="20" s="1"/>
  <c r="I13" i="20"/>
  <c r="M13" i="20" s="1"/>
  <c r="J12" i="20"/>
  <c r="K12" i="20" s="1"/>
  <c r="I12" i="20"/>
  <c r="M12" i="20" s="1"/>
  <c r="J11" i="20"/>
  <c r="K11" i="20" s="1"/>
  <c r="I11" i="20"/>
  <c r="M11" i="20" s="1"/>
  <c r="J10" i="20"/>
  <c r="K10" i="20" s="1"/>
  <c r="I10" i="20"/>
  <c r="M10" i="20" s="1"/>
  <c r="J9" i="20"/>
  <c r="K9" i="20" s="1"/>
  <c r="I9" i="20"/>
  <c r="M9" i="20" s="1"/>
  <c r="J8" i="20"/>
  <c r="K8" i="20" s="1"/>
  <c r="I8" i="20"/>
  <c r="J7" i="20"/>
  <c r="K7" i="20" s="1"/>
  <c r="I7" i="20"/>
  <c r="M7" i="20" s="1"/>
  <c r="J6" i="20"/>
  <c r="K6" i="20" s="1"/>
  <c r="I6" i="20"/>
  <c r="M6" i="20" s="1"/>
  <c r="J5" i="20"/>
  <c r="K5" i="20" s="1"/>
  <c r="I5" i="20"/>
  <c r="M5" i="20" s="1"/>
  <c r="J4" i="20"/>
  <c r="K4" i="20" s="1"/>
  <c r="I4" i="20"/>
  <c r="M4" i="20" s="1"/>
  <c r="J3" i="20"/>
  <c r="K3" i="20" s="1"/>
  <c r="I3" i="20"/>
  <c r="M3" i="20" s="1"/>
  <c r="T47" i="20"/>
  <c r="O47" i="20"/>
  <c r="O41" i="20"/>
  <c r="U40" i="20"/>
  <c r="T40" i="20"/>
  <c r="O40" i="20"/>
  <c r="A40" i="20"/>
  <c r="O39" i="20"/>
  <c r="U39" i="20" s="1"/>
  <c r="O38" i="20"/>
  <c r="U37" i="20"/>
  <c r="T37" i="20"/>
  <c r="O37" i="20"/>
  <c r="O36" i="20"/>
  <c r="U36" i="20" s="1"/>
  <c r="F33" i="20"/>
  <c r="F32" i="20"/>
  <c r="D32" i="20"/>
  <c r="E32" i="20" s="1"/>
  <c r="C32" i="20"/>
  <c r="O31" i="20"/>
  <c r="T31" i="20" s="1"/>
  <c r="F31" i="20"/>
  <c r="O30" i="20"/>
  <c r="F30" i="20"/>
  <c r="D30" i="20"/>
  <c r="E30" i="20" s="1"/>
  <c r="O29" i="20"/>
  <c r="T29" i="20" s="1"/>
  <c r="F29" i="20"/>
  <c r="O28" i="20"/>
  <c r="F28" i="20"/>
  <c r="D28" i="20" s="1"/>
  <c r="O27" i="20"/>
  <c r="T27" i="20" s="1"/>
  <c r="F27" i="20"/>
  <c r="O26" i="20"/>
  <c r="U26" i="20" s="1"/>
  <c r="F26" i="20"/>
  <c r="D26" i="20" s="1"/>
  <c r="E26" i="20" s="1"/>
  <c r="O25" i="20"/>
  <c r="U25" i="20" s="1"/>
  <c r="F25" i="20"/>
  <c r="D25" i="20" s="1"/>
  <c r="F24" i="20"/>
  <c r="D24" i="20" s="1"/>
  <c r="F23" i="20"/>
  <c r="D23" i="20"/>
  <c r="C23" i="20" s="1"/>
  <c r="F22" i="20"/>
  <c r="D22" i="20"/>
  <c r="C22" i="20" s="1"/>
  <c r="F21" i="20"/>
  <c r="D21" i="20"/>
  <c r="E21" i="20" s="1"/>
  <c r="C21" i="20"/>
  <c r="B21" i="20" s="1"/>
  <c r="U20" i="20"/>
  <c r="T20" i="20"/>
  <c r="O20" i="20"/>
  <c r="F20" i="20"/>
  <c r="D20" i="20" s="1"/>
  <c r="O19" i="20"/>
  <c r="F19" i="20"/>
  <c r="D19" i="20"/>
  <c r="E19" i="20" s="1"/>
  <c r="O18" i="20"/>
  <c r="T18" i="20" s="1"/>
  <c r="F18" i="20"/>
  <c r="D18" i="20"/>
  <c r="E18" i="20" s="1"/>
  <c r="C18" i="20"/>
  <c r="B18" i="20"/>
  <c r="O17" i="20"/>
  <c r="F17" i="20"/>
  <c r="D17" i="20" s="1"/>
  <c r="O16" i="20"/>
  <c r="U16" i="20" s="1"/>
  <c r="F16" i="20"/>
  <c r="D16" i="20" s="1"/>
  <c r="O15" i="20"/>
  <c r="U47" i="20"/>
  <c r="F15" i="20"/>
  <c r="D15" i="20" s="1"/>
  <c r="E15" i="20" s="1"/>
  <c r="U14" i="20"/>
  <c r="O14" i="20"/>
  <c r="A39" i="20" s="1"/>
  <c r="F14" i="20"/>
  <c r="D14" i="20"/>
  <c r="C14" i="20"/>
  <c r="F13" i="20"/>
  <c r="D13" i="20"/>
  <c r="E13" i="20" s="1"/>
  <c r="F12" i="20"/>
  <c r="D12" i="20"/>
  <c r="C12" i="20"/>
  <c r="F11" i="20"/>
  <c r="D11" i="20"/>
  <c r="E11" i="20" s="1"/>
  <c r="C11" i="20"/>
  <c r="B11" i="20"/>
  <c r="F10" i="20"/>
  <c r="D10" i="20" s="1"/>
  <c r="C10" i="20" s="1"/>
  <c r="O9" i="20"/>
  <c r="F9" i="20"/>
  <c r="D9" i="20"/>
  <c r="E9" i="20" s="1"/>
  <c r="O8" i="20"/>
  <c r="U8" i="20" s="1"/>
  <c r="F8" i="20"/>
  <c r="D8" i="20"/>
  <c r="C8" i="20"/>
  <c r="O7" i="20"/>
  <c r="F7" i="20"/>
  <c r="D7" i="20" s="1"/>
  <c r="E7" i="20" s="1"/>
  <c r="O6" i="20"/>
  <c r="T6" i="20" s="1"/>
  <c r="F6" i="20"/>
  <c r="D6" i="20" s="1"/>
  <c r="C6" i="20" s="1"/>
  <c r="O5" i="20"/>
  <c r="F5" i="20"/>
  <c r="D5" i="20"/>
  <c r="E5" i="20" s="1"/>
  <c r="O4" i="20"/>
  <c r="U4" i="20" s="1"/>
  <c r="F4" i="20"/>
  <c r="D4" i="20" s="1"/>
  <c r="C4" i="20" s="1"/>
  <c r="O3" i="20"/>
  <c r="A42" i="20" s="1"/>
  <c r="F3" i="20"/>
  <c r="D3" i="20"/>
  <c r="E3" i="20" s="1"/>
  <c r="M2" i="20"/>
  <c r="K2" i="20"/>
  <c r="F2" i="20"/>
  <c r="D2" i="20" s="1"/>
  <c r="E2" i="20" s="1"/>
  <c r="H33" i="19"/>
  <c r="D117" i="18"/>
  <c r="F28" i="19"/>
  <c r="D112" i="18"/>
  <c r="D111" i="18"/>
  <c r="D110" i="18"/>
  <c r="D109" i="18"/>
  <c r="D108" i="18"/>
  <c r="H27" i="19"/>
  <c r="D91" i="18"/>
  <c r="D90" i="18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2" i="1"/>
  <c r="F2" i="1"/>
  <c r="D2" i="1"/>
  <c r="E2" i="1" s="1"/>
  <c r="C81" i="18"/>
  <c r="D44" i="18"/>
  <c r="H15" i="19"/>
  <c r="D27" i="18"/>
  <c r="D28" i="18"/>
  <c r="D29" i="18"/>
  <c r="D30" i="18"/>
  <c r="D36" i="18"/>
  <c r="D37" i="18"/>
  <c r="D38" i="18"/>
  <c r="D39" i="18"/>
  <c r="D40" i="18"/>
  <c r="D41" i="18"/>
  <c r="D42" i="18"/>
  <c r="D43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13" i="18"/>
  <c r="D114" i="18"/>
  <c r="D115" i="18"/>
  <c r="D116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31" i="18"/>
  <c r="D17" i="18"/>
  <c r="E5" i="4"/>
  <c r="E4" i="4"/>
  <c r="R42" i="28" l="1"/>
  <c r="E41" i="28" s="1"/>
  <c r="C34" i="28"/>
  <c r="B34" i="28"/>
  <c r="P14" i="28"/>
  <c r="P21" i="28" s="1"/>
  <c r="Q21" i="28"/>
  <c r="F42" i="28"/>
  <c r="L28" i="28"/>
  <c r="R5" i="28"/>
  <c r="R10" i="28" s="1"/>
  <c r="E38" i="28" s="1"/>
  <c r="L14" i="28"/>
  <c r="P3" i="28"/>
  <c r="P10" i="28" s="1"/>
  <c r="Q10" i="28"/>
  <c r="R32" i="28"/>
  <c r="E40" i="28" s="1"/>
  <c r="L7" i="28"/>
  <c r="L9" i="28"/>
  <c r="R21" i="28"/>
  <c r="E39" i="28" s="1"/>
  <c r="L31" i="28"/>
  <c r="L10" i="28"/>
  <c r="L30" i="28"/>
  <c r="P25" i="28"/>
  <c r="P32" i="28" s="1"/>
  <c r="Q32" i="28"/>
  <c r="D41" i="28"/>
  <c r="Q43" i="28"/>
  <c r="L32" i="28"/>
  <c r="R47" i="28"/>
  <c r="G35" i="24"/>
  <c r="G36" i="24" s="1"/>
  <c r="F36" i="24"/>
  <c r="C8" i="24"/>
  <c r="B8" i="24" s="1"/>
  <c r="I42" i="24"/>
  <c r="R29" i="24"/>
  <c r="D34" i="24"/>
  <c r="D35" i="24" s="1"/>
  <c r="D36" i="24" s="1"/>
  <c r="R16" i="24"/>
  <c r="R20" i="24"/>
  <c r="R27" i="24"/>
  <c r="S42" i="24"/>
  <c r="F41" i="24" s="1"/>
  <c r="R17" i="24"/>
  <c r="R47" i="24"/>
  <c r="R31" i="24"/>
  <c r="R37" i="24"/>
  <c r="Q38" i="24"/>
  <c r="P38" i="24" s="1"/>
  <c r="P42" i="24" s="1"/>
  <c r="Q25" i="24"/>
  <c r="P25" i="24" s="1"/>
  <c r="H42" i="24"/>
  <c r="S32" i="24"/>
  <c r="F40" i="24" s="1"/>
  <c r="R36" i="24"/>
  <c r="Q18" i="24"/>
  <c r="P18" i="24" s="1"/>
  <c r="R4" i="24"/>
  <c r="G42" i="24"/>
  <c r="G34" i="24"/>
  <c r="C6" i="24"/>
  <c r="B6" i="24"/>
  <c r="E6" i="24"/>
  <c r="R5" i="24"/>
  <c r="Q19" i="24"/>
  <c r="P19" i="24" s="1"/>
  <c r="R41" i="24"/>
  <c r="Q8" i="24"/>
  <c r="P8" i="24" s="1"/>
  <c r="R28" i="24"/>
  <c r="E34" i="24"/>
  <c r="R15" i="24"/>
  <c r="P26" i="24"/>
  <c r="L7" i="24"/>
  <c r="L33" i="24"/>
  <c r="Q3" i="24"/>
  <c r="S10" i="24"/>
  <c r="F38" i="24" s="1"/>
  <c r="L2" i="24"/>
  <c r="S21" i="24"/>
  <c r="F39" i="24" s="1"/>
  <c r="Q7" i="24"/>
  <c r="P7" i="24" s="1"/>
  <c r="H34" i="24"/>
  <c r="L23" i="24"/>
  <c r="Q30" i="24"/>
  <c r="P30" i="24" s="1"/>
  <c r="R26" i="24"/>
  <c r="L13" i="24"/>
  <c r="L19" i="24"/>
  <c r="R39" i="24"/>
  <c r="R6" i="24"/>
  <c r="R47" i="22"/>
  <c r="R17" i="22"/>
  <c r="Q27" i="22"/>
  <c r="P27" i="22" s="1"/>
  <c r="I42" i="22"/>
  <c r="R38" i="22"/>
  <c r="R16" i="22"/>
  <c r="R41" i="22"/>
  <c r="H42" i="22"/>
  <c r="R9" i="22"/>
  <c r="R18" i="22"/>
  <c r="R4" i="22"/>
  <c r="R39" i="22"/>
  <c r="Q31" i="22"/>
  <c r="P31" i="22" s="1"/>
  <c r="B7" i="22"/>
  <c r="L7" i="22" s="1"/>
  <c r="P25" i="22"/>
  <c r="L19" i="22"/>
  <c r="S32" i="22"/>
  <c r="F40" i="22" s="1"/>
  <c r="L6" i="22"/>
  <c r="L15" i="22"/>
  <c r="B21" i="22"/>
  <c r="L21" i="22" s="1"/>
  <c r="L10" i="22"/>
  <c r="R25" i="22"/>
  <c r="C34" i="22"/>
  <c r="L3" i="22"/>
  <c r="L33" i="22"/>
  <c r="Q3" i="22"/>
  <c r="S10" i="22"/>
  <c r="F38" i="22" s="1"/>
  <c r="R6" i="22"/>
  <c r="Q14" i="22"/>
  <c r="R14" i="22" s="1"/>
  <c r="S21" i="22"/>
  <c r="F39" i="22" s="1"/>
  <c r="R7" i="22"/>
  <c r="L14" i="22"/>
  <c r="B20" i="22"/>
  <c r="L20" i="22" s="1"/>
  <c r="G42" i="22"/>
  <c r="L18" i="22"/>
  <c r="L9" i="22"/>
  <c r="Q37" i="22"/>
  <c r="S42" i="22"/>
  <c r="F41" i="22" s="1"/>
  <c r="B5" i="22"/>
  <c r="L5" i="22" s="1"/>
  <c r="L16" i="22"/>
  <c r="R20" i="22"/>
  <c r="L17" i="22"/>
  <c r="R19" i="22"/>
  <c r="R15" i="22"/>
  <c r="R5" i="22"/>
  <c r="E25" i="20"/>
  <c r="C25" i="20"/>
  <c r="B25" i="20" s="1"/>
  <c r="L25" i="20" s="1"/>
  <c r="V38" i="20"/>
  <c r="C19" i="20"/>
  <c r="B19" i="20" s="1"/>
  <c r="M17" i="20"/>
  <c r="M21" i="20"/>
  <c r="V7" i="20"/>
  <c r="V19" i="20"/>
  <c r="C13" i="20"/>
  <c r="B12" i="20"/>
  <c r="S20" i="20"/>
  <c r="Q20" i="20" s="1"/>
  <c r="P20" i="20" s="1"/>
  <c r="V41" i="20"/>
  <c r="V30" i="20"/>
  <c r="L19" i="20"/>
  <c r="S40" i="20"/>
  <c r="Q40" i="20" s="1"/>
  <c r="P40" i="20" s="1"/>
  <c r="T4" i="20"/>
  <c r="S4" i="20" s="1"/>
  <c r="Q4" i="20" s="1"/>
  <c r="P4" i="20" s="1"/>
  <c r="V9" i="20"/>
  <c r="U6" i="20"/>
  <c r="S6" i="20" s="1"/>
  <c r="V6" i="20"/>
  <c r="U18" i="20"/>
  <c r="S18" i="20" s="1"/>
  <c r="V28" i="20"/>
  <c r="T16" i="20"/>
  <c r="S16" i="20" s="1"/>
  <c r="Q16" i="20" s="1"/>
  <c r="P16" i="20" s="1"/>
  <c r="V39" i="20"/>
  <c r="V15" i="20"/>
  <c r="T26" i="20"/>
  <c r="S26" i="20" s="1"/>
  <c r="Q26" i="20" s="1"/>
  <c r="P26" i="20" s="1"/>
  <c r="T8" i="20"/>
  <c r="S8" i="20" s="1"/>
  <c r="Q8" i="20" s="1"/>
  <c r="P8" i="20" s="1"/>
  <c r="V18" i="20"/>
  <c r="T36" i="20"/>
  <c r="S36" i="20" s="1"/>
  <c r="Q36" i="20" s="1"/>
  <c r="P36" i="20" s="1"/>
  <c r="U27" i="20"/>
  <c r="S27" i="20" s="1"/>
  <c r="Q27" i="20" s="1"/>
  <c r="P27" i="20" s="1"/>
  <c r="V27" i="20"/>
  <c r="V16" i="20"/>
  <c r="I34" i="20"/>
  <c r="V47" i="20"/>
  <c r="U31" i="20"/>
  <c r="S31" i="20" s="1"/>
  <c r="Q31" i="20" s="1"/>
  <c r="P31" i="20" s="1"/>
  <c r="V17" i="20"/>
  <c r="V5" i="20"/>
  <c r="L11" i="20"/>
  <c r="T14" i="20"/>
  <c r="S14" i="20" s="1"/>
  <c r="Q14" i="20" s="1"/>
  <c r="P14" i="20" s="1"/>
  <c r="L21" i="20"/>
  <c r="U29" i="20"/>
  <c r="S29" i="20" s="1"/>
  <c r="Q29" i="20" s="1"/>
  <c r="P29" i="20" s="1"/>
  <c r="V31" i="20"/>
  <c r="J34" i="20"/>
  <c r="E20" i="20"/>
  <c r="C20" i="20"/>
  <c r="B20" i="20"/>
  <c r="E28" i="20"/>
  <c r="C28" i="20"/>
  <c r="B28" i="20"/>
  <c r="E16" i="20"/>
  <c r="C16" i="20"/>
  <c r="B16" i="20"/>
  <c r="E17" i="20"/>
  <c r="C17" i="20"/>
  <c r="B17" i="20" s="1"/>
  <c r="L17" i="20" s="1"/>
  <c r="B13" i="20"/>
  <c r="L13" i="20" s="1"/>
  <c r="C30" i="20"/>
  <c r="B32" i="20"/>
  <c r="L32" i="20" s="1"/>
  <c r="L12" i="20"/>
  <c r="L18" i="20"/>
  <c r="E12" i="20"/>
  <c r="S37" i="20"/>
  <c r="Q37" i="20" s="1"/>
  <c r="P37" i="20" s="1"/>
  <c r="B22" i="20"/>
  <c r="L22" i="20" s="1"/>
  <c r="B23" i="20"/>
  <c r="L23" i="20" s="1"/>
  <c r="C26" i="20"/>
  <c r="D33" i="20"/>
  <c r="B8" i="20"/>
  <c r="L8" i="20" s="1"/>
  <c r="B4" i="20"/>
  <c r="L4" i="20" s="1"/>
  <c r="S47" i="20"/>
  <c r="B2" i="20"/>
  <c r="B14" i="20"/>
  <c r="L14" i="20" s="1"/>
  <c r="F34" i="20"/>
  <c r="G35" i="20" s="1"/>
  <c r="G36" i="20" s="1"/>
  <c r="B6" i="20"/>
  <c r="L6" i="20" s="1"/>
  <c r="D27" i="20"/>
  <c r="Q47" i="20" s="1"/>
  <c r="Q48" i="20" s="1"/>
  <c r="B10" i="20"/>
  <c r="L10" i="20" s="1"/>
  <c r="C24" i="20"/>
  <c r="B24" i="20" s="1"/>
  <c r="E24" i="20"/>
  <c r="K15" i="20"/>
  <c r="E4" i="20"/>
  <c r="E22" i="20"/>
  <c r="V4" i="20"/>
  <c r="V20" i="20"/>
  <c r="T28" i="20"/>
  <c r="T30" i="20"/>
  <c r="T38" i="20"/>
  <c r="V40" i="20"/>
  <c r="C3" i="20"/>
  <c r="C5" i="20"/>
  <c r="C7" i="20"/>
  <c r="C9" i="20"/>
  <c r="C15" i="20"/>
  <c r="M24" i="20"/>
  <c r="V26" i="20"/>
  <c r="U28" i="20"/>
  <c r="U30" i="20"/>
  <c r="V36" i="20"/>
  <c r="U38" i="20"/>
  <c r="A41" i="20"/>
  <c r="E23" i="20"/>
  <c r="K27" i="20"/>
  <c r="V14" i="20"/>
  <c r="T3" i="20"/>
  <c r="T5" i="20"/>
  <c r="T7" i="20"/>
  <c r="M8" i="20"/>
  <c r="T9" i="20"/>
  <c r="M14" i="20"/>
  <c r="T41" i="20"/>
  <c r="U3" i="20"/>
  <c r="U5" i="20"/>
  <c r="U7" i="20"/>
  <c r="U9" i="20"/>
  <c r="T15" i="20"/>
  <c r="T17" i="20"/>
  <c r="T19" i="20"/>
  <c r="U41" i="20"/>
  <c r="E6" i="20"/>
  <c r="E8" i="20"/>
  <c r="E14" i="20"/>
  <c r="V37" i="20"/>
  <c r="V8" i="20"/>
  <c r="V3" i="20"/>
  <c r="U15" i="20"/>
  <c r="U17" i="20"/>
  <c r="U19" i="20"/>
  <c r="T25" i="20"/>
  <c r="D29" i="20"/>
  <c r="E29" i="20" s="1"/>
  <c r="D31" i="20"/>
  <c r="T39" i="20"/>
  <c r="S39" i="20" s="1"/>
  <c r="E10" i="20"/>
  <c r="K33" i="20"/>
  <c r="A38" i="20"/>
  <c r="J33" i="19"/>
  <c r="K33" i="19" s="1"/>
  <c r="I33" i="19"/>
  <c r="M33" i="19" s="1"/>
  <c r="J32" i="19"/>
  <c r="K32" i="19" s="1"/>
  <c r="I32" i="19"/>
  <c r="M32" i="19" s="1"/>
  <c r="J31" i="19"/>
  <c r="K31" i="19" s="1"/>
  <c r="I31" i="19"/>
  <c r="M31" i="19" s="1"/>
  <c r="J30" i="19"/>
  <c r="K30" i="19" s="1"/>
  <c r="I30" i="19"/>
  <c r="M30" i="19" s="1"/>
  <c r="J29" i="19"/>
  <c r="K29" i="19" s="1"/>
  <c r="I29" i="19"/>
  <c r="M29" i="19" s="1"/>
  <c r="J28" i="19"/>
  <c r="I28" i="19"/>
  <c r="M28" i="19" s="1"/>
  <c r="J27" i="19"/>
  <c r="K27" i="19" s="1"/>
  <c r="I27" i="19"/>
  <c r="M27" i="19" s="1"/>
  <c r="J26" i="19"/>
  <c r="K26" i="19" s="1"/>
  <c r="I26" i="19"/>
  <c r="M26" i="19" s="1"/>
  <c r="J25" i="19"/>
  <c r="K25" i="19" s="1"/>
  <c r="I25" i="19"/>
  <c r="M25" i="19" s="1"/>
  <c r="J24" i="19"/>
  <c r="K24" i="19" s="1"/>
  <c r="I24" i="19"/>
  <c r="J23" i="19"/>
  <c r="K23" i="19" s="1"/>
  <c r="I23" i="19"/>
  <c r="M23" i="19" s="1"/>
  <c r="J22" i="19"/>
  <c r="K22" i="19" s="1"/>
  <c r="I22" i="19"/>
  <c r="M22" i="19" s="1"/>
  <c r="J21" i="19"/>
  <c r="K21" i="19" s="1"/>
  <c r="I21" i="19"/>
  <c r="M21" i="19" s="1"/>
  <c r="J20" i="19"/>
  <c r="K20" i="19" s="1"/>
  <c r="I20" i="19"/>
  <c r="M20" i="19" s="1"/>
  <c r="J19" i="19"/>
  <c r="K19" i="19" s="1"/>
  <c r="I19" i="19"/>
  <c r="J18" i="19"/>
  <c r="K18" i="19" s="1"/>
  <c r="I18" i="19"/>
  <c r="M18" i="19" s="1"/>
  <c r="J17" i="19"/>
  <c r="K17" i="19" s="1"/>
  <c r="I17" i="19"/>
  <c r="M17" i="19" s="1"/>
  <c r="J16" i="19"/>
  <c r="K16" i="19" s="1"/>
  <c r="I16" i="19"/>
  <c r="M16" i="19" s="1"/>
  <c r="J15" i="19"/>
  <c r="K15" i="19" s="1"/>
  <c r="I15" i="19"/>
  <c r="J14" i="19"/>
  <c r="I14" i="19"/>
  <c r="V18" i="19" s="1"/>
  <c r="J13" i="19"/>
  <c r="K13" i="19" s="1"/>
  <c r="I13" i="19"/>
  <c r="M13" i="19" s="1"/>
  <c r="J12" i="19"/>
  <c r="I12" i="19"/>
  <c r="M12" i="19" s="1"/>
  <c r="J11" i="19"/>
  <c r="K11" i="19" s="1"/>
  <c r="I11" i="19"/>
  <c r="V15" i="19" s="1"/>
  <c r="J10" i="19"/>
  <c r="I10" i="19"/>
  <c r="J9" i="19"/>
  <c r="K9" i="19" s="1"/>
  <c r="I9" i="19"/>
  <c r="M9" i="19" s="1"/>
  <c r="J8" i="19"/>
  <c r="K8" i="19" s="1"/>
  <c r="I8" i="19"/>
  <c r="J7" i="19"/>
  <c r="K7" i="19" s="1"/>
  <c r="I7" i="19"/>
  <c r="M7" i="19" s="1"/>
  <c r="J6" i="19"/>
  <c r="K6" i="19" s="1"/>
  <c r="I6" i="19"/>
  <c r="M6" i="19" s="1"/>
  <c r="J5" i="19"/>
  <c r="I5" i="19"/>
  <c r="M5" i="19" s="1"/>
  <c r="J4" i="19"/>
  <c r="K4" i="19" s="1"/>
  <c r="I4" i="19"/>
  <c r="M4" i="19" s="1"/>
  <c r="J3" i="19"/>
  <c r="K3" i="19" s="1"/>
  <c r="I3" i="19"/>
  <c r="M3" i="19" s="1"/>
  <c r="F3" i="19"/>
  <c r="F4" i="19"/>
  <c r="D4" i="19" s="1"/>
  <c r="F5" i="19"/>
  <c r="F6" i="19"/>
  <c r="F7" i="19"/>
  <c r="D7" i="19" s="1"/>
  <c r="F8" i="19"/>
  <c r="F9" i="19"/>
  <c r="D9" i="19" s="1"/>
  <c r="F10" i="19"/>
  <c r="D10" i="19" s="1"/>
  <c r="F11" i="19"/>
  <c r="D11" i="19" s="1"/>
  <c r="E11" i="19" s="1"/>
  <c r="F12" i="19"/>
  <c r="D12" i="19" s="1"/>
  <c r="F13" i="19"/>
  <c r="D13" i="19" s="1"/>
  <c r="F14" i="19"/>
  <c r="F15" i="19"/>
  <c r="D15" i="19" s="1"/>
  <c r="E15" i="19" s="1"/>
  <c r="F16" i="19"/>
  <c r="F17" i="19"/>
  <c r="F18" i="19"/>
  <c r="D18" i="19" s="1"/>
  <c r="F19" i="19"/>
  <c r="D19" i="19" s="1"/>
  <c r="F20" i="19"/>
  <c r="D20" i="19" s="1"/>
  <c r="C20" i="19" s="1"/>
  <c r="F21" i="19"/>
  <c r="D21" i="19" s="1"/>
  <c r="E21" i="19" s="1"/>
  <c r="F22" i="19"/>
  <c r="D22" i="19" s="1"/>
  <c r="F23" i="19"/>
  <c r="D23" i="19" s="1"/>
  <c r="F24" i="19"/>
  <c r="D24" i="19" s="1"/>
  <c r="F25" i="19"/>
  <c r="F26" i="19"/>
  <c r="D26" i="19" s="1"/>
  <c r="E26" i="19" s="1"/>
  <c r="F27" i="19"/>
  <c r="D28" i="19"/>
  <c r="F29" i="19"/>
  <c r="D29" i="19" s="1"/>
  <c r="E29" i="19" s="1"/>
  <c r="F30" i="19"/>
  <c r="D30" i="19" s="1"/>
  <c r="F31" i="19"/>
  <c r="F32" i="19"/>
  <c r="D32" i="19" s="1"/>
  <c r="F33" i="19"/>
  <c r="T47" i="19"/>
  <c r="O47" i="19"/>
  <c r="O41" i="19"/>
  <c r="O40" i="19"/>
  <c r="A40" i="19"/>
  <c r="O39" i="19"/>
  <c r="U39" i="19" s="1"/>
  <c r="O38" i="19"/>
  <c r="O37" i="19"/>
  <c r="O36" i="19"/>
  <c r="U36" i="19" s="1"/>
  <c r="O31" i="19"/>
  <c r="T31" i="19" s="1"/>
  <c r="O30" i="19"/>
  <c r="O29" i="19"/>
  <c r="O28" i="19"/>
  <c r="O27" i="19"/>
  <c r="T27" i="19" s="1"/>
  <c r="O26" i="19"/>
  <c r="O25" i="19"/>
  <c r="T25" i="19" s="1"/>
  <c r="O20" i="19"/>
  <c r="U20" i="19" s="1"/>
  <c r="O19" i="19"/>
  <c r="U19" i="19" s="1"/>
  <c r="O18" i="19"/>
  <c r="T18" i="19" s="1"/>
  <c r="O17" i="19"/>
  <c r="U17" i="19" s="1"/>
  <c r="D17" i="19"/>
  <c r="E17" i="19" s="1"/>
  <c r="O16" i="19"/>
  <c r="U16" i="19" s="1"/>
  <c r="D16" i="19"/>
  <c r="E16" i="19" s="1"/>
  <c r="C16" i="19"/>
  <c r="B16" i="19" s="1"/>
  <c r="O15" i="19"/>
  <c r="U15" i="19" s="1"/>
  <c r="O14" i="19"/>
  <c r="A39" i="19" s="1"/>
  <c r="O9" i="19"/>
  <c r="O8" i="19"/>
  <c r="O7" i="19"/>
  <c r="O6" i="19"/>
  <c r="T6" i="19" s="1"/>
  <c r="O5" i="19"/>
  <c r="D5" i="19"/>
  <c r="E5" i="19" s="1"/>
  <c r="C5" i="19"/>
  <c r="O4" i="19"/>
  <c r="U4" i="19" s="1"/>
  <c r="O3" i="19"/>
  <c r="A38" i="19" s="1"/>
  <c r="D3" i="19"/>
  <c r="M2" i="19"/>
  <c r="K2" i="19"/>
  <c r="F2" i="19"/>
  <c r="D2" i="19"/>
  <c r="B2" i="19"/>
  <c r="L2" i="19" s="1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8" i="18"/>
  <c r="D19" i="18"/>
  <c r="D20" i="18"/>
  <c r="D21" i="18"/>
  <c r="D22" i="18"/>
  <c r="D23" i="18"/>
  <c r="D24" i="18"/>
  <c r="D25" i="18"/>
  <c r="D26" i="18"/>
  <c r="D32" i="18"/>
  <c r="D33" i="18"/>
  <c r="D34" i="18"/>
  <c r="D35" i="18"/>
  <c r="D2" i="18"/>
  <c r="D116" i="16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L34" i="28" l="1"/>
  <c r="E42" i="28"/>
  <c r="D38" i="28"/>
  <c r="Q11" i="28"/>
  <c r="D40" i="28"/>
  <c r="Q33" i="28"/>
  <c r="D39" i="28"/>
  <c r="Q22" i="28"/>
  <c r="S22" i="28" s="1"/>
  <c r="C41" i="28"/>
  <c r="B41" i="28" s="1"/>
  <c r="B34" i="24"/>
  <c r="L8" i="24"/>
  <c r="Q42" i="24"/>
  <c r="D41" i="24" s="1"/>
  <c r="R25" i="24"/>
  <c r="R38" i="24"/>
  <c r="R42" i="24" s="1"/>
  <c r="E41" i="24" s="1"/>
  <c r="P21" i="24"/>
  <c r="R18" i="24"/>
  <c r="P3" i="24"/>
  <c r="P10" i="24" s="1"/>
  <c r="Q10" i="24"/>
  <c r="Q32" i="24"/>
  <c r="L6" i="24"/>
  <c r="L34" i="24" s="1"/>
  <c r="C34" i="24"/>
  <c r="R19" i="24"/>
  <c r="Q21" i="24"/>
  <c r="P32" i="24"/>
  <c r="R30" i="24"/>
  <c r="R3" i="24"/>
  <c r="R7" i="24"/>
  <c r="F42" i="24"/>
  <c r="R8" i="24"/>
  <c r="R27" i="22"/>
  <c r="R21" i="22"/>
  <c r="E39" i="22" s="1"/>
  <c r="Q32" i="22"/>
  <c r="Q33" i="22" s="1"/>
  <c r="P32" i="22"/>
  <c r="L34" i="22"/>
  <c r="P37" i="22"/>
  <c r="P42" i="22" s="1"/>
  <c r="Q42" i="22"/>
  <c r="R37" i="22"/>
  <c r="R42" i="22" s="1"/>
  <c r="E41" i="22" s="1"/>
  <c r="Q21" i="22"/>
  <c r="P14" i="22"/>
  <c r="P21" i="22" s="1"/>
  <c r="F42" i="22"/>
  <c r="Q10" i="22"/>
  <c r="P3" i="22"/>
  <c r="P10" i="22" s="1"/>
  <c r="R3" i="22"/>
  <c r="R10" i="22" s="1"/>
  <c r="E38" i="22" s="1"/>
  <c r="R31" i="22"/>
  <c r="B34" i="22"/>
  <c r="U42" i="20"/>
  <c r="H41" i="20" s="1"/>
  <c r="R40" i="20"/>
  <c r="R20" i="20"/>
  <c r="R4" i="20"/>
  <c r="S41" i="20"/>
  <c r="Q41" i="20" s="1"/>
  <c r="P41" i="20" s="1"/>
  <c r="R16" i="20"/>
  <c r="K34" i="20"/>
  <c r="R14" i="20"/>
  <c r="Q18" i="20"/>
  <c r="P18" i="20" s="1"/>
  <c r="Q6" i="20"/>
  <c r="P6" i="20" s="1"/>
  <c r="R8" i="20"/>
  <c r="R26" i="20"/>
  <c r="S17" i="20"/>
  <c r="Q17" i="20" s="1"/>
  <c r="P17" i="20" s="1"/>
  <c r="S7" i="20"/>
  <c r="V32" i="20"/>
  <c r="I40" i="20" s="1"/>
  <c r="R36" i="20"/>
  <c r="S9" i="20"/>
  <c r="Q9" i="20" s="1"/>
  <c r="P9" i="20" s="1"/>
  <c r="S30" i="20"/>
  <c r="Q30" i="20" s="1"/>
  <c r="P30" i="20" s="1"/>
  <c r="L28" i="20"/>
  <c r="L16" i="20"/>
  <c r="B30" i="20"/>
  <c r="L30" i="20" s="1"/>
  <c r="U32" i="20"/>
  <c r="H40" i="20" s="1"/>
  <c r="B26" i="20"/>
  <c r="L26" i="20" s="1"/>
  <c r="D34" i="20"/>
  <c r="D35" i="20" s="1"/>
  <c r="D36" i="20" s="1"/>
  <c r="L20" i="20"/>
  <c r="M34" i="20"/>
  <c r="U21" i="20"/>
  <c r="H39" i="20" s="1"/>
  <c r="S5" i="20"/>
  <c r="Q5" i="20" s="1"/>
  <c r="P5" i="20" s="1"/>
  <c r="V10" i="20"/>
  <c r="I38" i="20" s="1"/>
  <c r="E27" i="20"/>
  <c r="S38" i="20"/>
  <c r="L24" i="20"/>
  <c r="R31" i="20"/>
  <c r="S15" i="20"/>
  <c r="G34" i="20"/>
  <c r="C31" i="20"/>
  <c r="B31" i="20" s="1"/>
  <c r="C29" i="20"/>
  <c r="B29" i="20" s="1"/>
  <c r="T42" i="20"/>
  <c r="G41" i="20" s="1"/>
  <c r="S19" i="20"/>
  <c r="S3" i="20"/>
  <c r="T10" i="20"/>
  <c r="G38" i="20" s="1"/>
  <c r="B15" i="20"/>
  <c r="L15" i="20" s="1"/>
  <c r="V21" i="20"/>
  <c r="I39" i="20" s="1"/>
  <c r="B9" i="20"/>
  <c r="L9" i="20" s="1"/>
  <c r="T21" i="20"/>
  <c r="G39" i="20" s="1"/>
  <c r="R29" i="20"/>
  <c r="C33" i="20"/>
  <c r="B7" i="20"/>
  <c r="L7" i="20" s="1"/>
  <c r="L2" i="20"/>
  <c r="E33" i="20"/>
  <c r="C27" i="20"/>
  <c r="V42" i="20"/>
  <c r="I41" i="20" s="1"/>
  <c r="S28" i="20"/>
  <c r="H34" i="20"/>
  <c r="U10" i="20"/>
  <c r="H38" i="20" s="1"/>
  <c r="B5" i="20"/>
  <c r="L5" i="20" s="1"/>
  <c r="R27" i="20"/>
  <c r="E34" i="20"/>
  <c r="E31" i="20"/>
  <c r="Q39" i="20"/>
  <c r="P39" i="20" s="1"/>
  <c r="T32" i="20"/>
  <c r="G40" i="20" s="1"/>
  <c r="S25" i="20"/>
  <c r="B3" i="20"/>
  <c r="L3" i="20"/>
  <c r="R37" i="20"/>
  <c r="E32" i="19"/>
  <c r="C32" i="19"/>
  <c r="B32" i="19" s="1"/>
  <c r="L32" i="19" s="1"/>
  <c r="E30" i="19"/>
  <c r="C30" i="19"/>
  <c r="B30" i="19" s="1"/>
  <c r="E28" i="19"/>
  <c r="C28" i="19"/>
  <c r="B28" i="19" s="1"/>
  <c r="L28" i="19" s="1"/>
  <c r="V8" i="19"/>
  <c r="V29" i="19"/>
  <c r="E9" i="19"/>
  <c r="C9" i="19"/>
  <c r="B9" i="19" s="1"/>
  <c r="L9" i="19" s="1"/>
  <c r="E4" i="19"/>
  <c r="C4" i="19"/>
  <c r="B4" i="19" s="1"/>
  <c r="L4" i="19" s="1"/>
  <c r="V37" i="19"/>
  <c r="V40" i="19"/>
  <c r="E13" i="19"/>
  <c r="C13" i="19"/>
  <c r="E10" i="19"/>
  <c r="C3" i="19"/>
  <c r="B3" i="19" s="1"/>
  <c r="L3" i="19" s="1"/>
  <c r="C11" i="19"/>
  <c r="B11" i="19" s="1"/>
  <c r="C21" i="19"/>
  <c r="B21" i="19" s="1"/>
  <c r="E12" i="19"/>
  <c r="C12" i="19"/>
  <c r="B12" i="19"/>
  <c r="L12" i="19" s="1"/>
  <c r="E19" i="19"/>
  <c r="C19" i="19"/>
  <c r="B19" i="19" s="1"/>
  <c r="L19" i="19" s="1"/>
  <c r="E7" i="19"/>
  <c r="C7" i="19"/>
  <c r="E23" i="19"/>
  <c r="C23" i="19"/>
  <c r="B23" i="19" s="1"/>
  <c r="E18" i="19"/>
  <c r="C18" i="19"/>
  <c r="B18" i="19" s="1"/>
  <c r="B5" i="19"/>
  <c r="L5" i="19" s="1"/>
  <c r="D31" i="19"/>
  <c r="C31" i="19" s="1"/>
  <c r="B20" i="19"/>
  <c r="E20" i="19"/>
  <c r="C15" i="19"/>
  <c r="V31" i="19"/>
  <c r="U27" i="19"/>
  <c r="S27" i="19" s="1"/>
  <c r="Q27" i="19" s="1"/>
  <c r="P27" i="19" s="1"/>
  <c r="T36" i="19"/>
  <c r="S36" i="19" s="1"/>
  <c r="Q36" i="19" s="1"/>
  <c r="T40" i="19"/>
  <c r="U6" i="19"/>
  <c r="S6" i="19" s="1"/>
  <c r="Q6" i="19" s="1"/>
  <c r="P6" i="19" s="1"/>
  <c r="U40" i="19"/>
  <c r="V6" i="19"/>
  <c r="T20" i="19"/>
  <c r="S20" i="19" s="1"/>
  <c r="Q20" i="19" s="1"/>
  <c r="T8" i="19"/>
  <c r="T29" i="19"/>
  <c r="T37" i="19"/>
  <c r="U31" i="19"/>
  <c r="S31" i="19" s="1"/>
  <c r="Q31" i="19" s="1"/>
  <c r="P31" i="19" s="1"/>
  <c r="K5" i="19"/>
  <c r="T16" i="19"/>
  <c r="S16" i="19" s="1"/>
  <c r="Q16" i="19" s="1"/>
  <c r="U29" i="19"/>
  <c r="U37" i="19"/>
  <c r="V16" i="19"/>
  <c r="I34" i="19"/>
  <c r="T14" i="19"/>
  <c r="M11" i="19"/>
  <c r="V17" i="19"/>
  <c r="U25" i="19"/>
  <c r="S25" i="19" s="1"/>
  <c r="K12" i="19"/>
  <c r="K14" i="19"/>
  <c r="K28" i="19"/>
  <c r="J34" i="19"/>
  <c r="T3" i="19"/>
  <c r="U3" i="19"/>
  <c r="E22" i="19"/>
  <c r="C22" i="19"/>
  <c r="B22" i="19" s="1"/>
  <c r="C24" i="19"/>
  <c r="B24" i="19" s="1"/>
  <c r="E24" i="19"/>
  <c r="D8" i="19"/>
  <c r="E8" i="19" s="1"/>
  <c r="S47" i="19"/>
  <c r="V47" i="19"/>
  <c r="M8" i="19"/>
  <c r="M15" i="19"/>
  <c r="M19" i="19"/>
  <c r="D33" i="19"/>
  <c r="V4" i="19"/>
  <c r="C10" i="19"/>
  <c r="B10" i="19"/>
  <c r="T28" i="19"/>
  <c r="V28" i="19"/>
  <c r="U28" i="19"/>
  <c r="V41" i="19"/>
  <c r="U41" i="19"/>
  <c r="T41" i="19"/>
  <c r="A41" i="19"/>
  <c r="A42" i="19"/>
  <c r="K10" i="19"/>
  <c r="U14" i="19"/>
  <c r="D25" i="19"/>
  <c r="E25" i="19" s="1"/>
  <c r="T5" i="19"/>
  <c r="V5" i="19"/>
  <c r="U5" i="19"/>
  <c r="T9" i="19"/>
  <c r="V9" i="19"/>
  <c r="U9" i="19"/>
  <c r="V19" i="19"/>
  <c r="V36" i="19"/>
  <c r="M24" i="19"/>
  <c r="V14" i="19"/>
  <c r="M10" i="19"/>
  <c r="V25" i="19"/>
  <c r="D27" i="19"/>
  <c r="V30" i="19"/>
  <c r="U30" i="19"/>
  <c r="T30" i="19"/>
  <c r="U38" i="19"/>
  <c r="T38" i="19"/>
  <c r="V38" i="19"/>
  <c r="L30" i="19"/>
  <c r="T26" i="19"/>
  <c r="U26" i="19"/>
  <c r="V26" i="19"/>
  <c r="C29" i="19"/>
  <c r="B29" i="19"/>
  <c r="D14" i="19"/>
  <c r="E14" i="19" s="1"/>
  <c r="L16" i="19"/>
  <c r="L18" i="19"/>
  <c r="L20" i="19"/>
  <c r="V27" i="19"/>
  <c r="U47" i="19"/>
  <c r="D6" i="19"/>
  <c r="E6" i="19" s="1"/>
  <c r="E3" i="19"/>
  <c r="F34" i="19"/>
  <c r="G35" i="19" s="1"/>
  <c r="G36" i="19" s="1"/>
  <c r="U7" i="19"/>
  <c r="T7" i="19"/>
  <c r="V7" i="19"/>
  <c r="U8" i="19"/>
  <c r="C26" i="19"/>
  <c r="B26" i="19" s="1"/>
  <c r="V39" i="19"/>
  <c r="V20" i="19"/>
  <c r="U18" i="19"/>
  <c r="S18" i="19" s="1"/>
  <c r="V3" i="19"/>
  <c r="E2" i="19"/>
  <c r="C17" i="19"/>
  <c r="T4" i="19"/>
  <c r="M14" i="19"/>
  <c r="T15" i="19"/>
  <c r="S15" i="19" s="1"/>
  <c r="T17" i="19"/>
  <c r="S17" i="19" s="1"/>
  <c r="T19" i="19"/>
  <c r="S19" i="19" s="1"/>
  <c r="T39" i="19"/>
  <c r="S39" i="19" s="1"/>
  <c r="H6" i="17"/>
  <c r="H7" i="17"/>
  <c r="H8" i="17"/>
  <c r="H9" i="17"/>
  <c r="H11" i="17"/>
  <c r="H12" i="17"/>
  <c r="H13" i="17"/>
  <c r="H15" i="17"/>
  <c r="H16" i="17"/>
  <c r="H17" i="17"/>
  <c r="H18" i="17"/>
  <c r="H19" i="17"/>
  <c r="H20" i="17"/>
  <c r="H21" i="17"/>
  <c r="H22" i="17"/>
  <c r="H23" i="17"/>
  <c r="H24" i="17"/>
  <c r="H25" i="17"/>
  <c r="G14" i="17"/>
  <c r="H14" i="17" s="1"/>
  <c r="F5" i="17"/>
  <c r="G5" i="17" s="1"/>
  <c r="H5" i="17" s="1"/>
  <c r="G4" i="17"/>
  <c r="H4" i="17" s="1"/>
  <c r="G3" i="17"/>
  <c r="H3" i="17" s="1"/>
  <c r="G2" i="17"/>
  <c r="E27" i="17"/>
  <c r="E25" i="17"/>
  <c r="E23" i="17"/>
  <c r="E19" i="17"/>
  <c r="E15" i="17"/>
  <c r="F14" i="17"/>
  <c r="E10" i="17"/>
  <c r="H10" i="17" s="1"/>
  <c r="E9" i="17"/>
  <c r="E7" i="17"/>
  <c r="F6" i="17"/>
  <c r="E4" i="17"/>
  <c r="E23" i="4"/>
  <c r="E15" i="4"/>
  <c r="D106" i="16"/>
  <c r="D105" i="16"/>
  <c r="H28" i="15"/>
  <c r="D56" i="16"/>
  <c r="D55" i="16"/>
  <c r="D54" i="16"/>
  <c r="H14" i="15"/>
  <c r="D38" i="17"/>
  <c r="B38" i="17"/>
  <c r="C39" i="28" l="1"/>
  <c r="B39" i="28" s="1"/>
  <c r="C40" i="28"/>
  <c r="B40" i="28" s="1"/>
  <c r="C38" i="28"/>
  <c r="B38" i="28" s="1"/>
  <c r="D42" i="28"/>
  <c r="R21" i="24"/>
  <c r="E39" i="24" s="1"/>
  <c r="R32" i="24"/>
  <c r="E40" i="24" s="1"/>
  <c r="Q43" i="24"/>
  <c r="R10" i="24"/>
  <c r="E38" i="24" s="1"/>
  <c r="C41" i="24"/>
  <c r="B41" i="24" s="1"/>
  <c r="D39" i="24"/>
  <c r="Q22" i="24"/>
  <c r="S22" i="24" s="1"/>
  <c r="Q33" i="24"/>
  <c r="D40" i="24"/>
  <c r="D38" i="24"/>
  <c r="Q11" i="24"/>
  <c r="D40" i="22"/>
  <c r="C40" i="22" s="1"/>
  <c r="R32" i="22"/>
  <c r="E40" i="22" s="1"/>
  <c r="E42" i="22" s="1"/>
  <c r="D39" i="22"/>
  <c r="Q22" i="22"/>
  <c r="S22" i="22" s="1"/>
  <c r="Q11" i="22"/>
  <c r="D38" i="22"/>
  <c r="D41" i="22"/>
  <c r="Q43" i="22"/>
  <c r="R47" i="20"/>
  <c r="R6" i="20"/>
  <c r="R30" i="20"/>
  <c r="I42" i="20"/>
  <c r="Q7" i="20"/>
  <c r="P7" i="20" s="1"/>
  <c r="R18" i="20"/>
  <c r="R5" i="20"/>
  <c r="G42" i="20"/>
  <c r="H42" i="20"/>
  <c r="Q3" i="20"/>
  <c r="R3" i="20" s="1"/>
  <c r="S10" i="20"/>
  <c r="F38" i="20" s="1"/>
  <c r="R39" i="20"/>
  <c r="Q19" i="20"/>
  <c r="P19" i="20" s="1"/>
  <c r="R9" i="20"/>
  <c r="Q28" i="20"/>
  <c r="P28" i="20" s="1"/>
  <c r="B33" i="20"/>
  <c r="L33" i="20" s="1"/>
  <c r="Q38" i="20"/>
  <c r="R38" i="20" s="1"/>
  <c r="S42" i="20"/>
  <c r="F41" i="20" s="1"/>
  <c r="L29" i="20"/>
  <c r="Q25" i="20"/>
  <c r="R25" i="20" s="1"/>
  <c r="S32" i="20"/>
  <c r="F40" i="20" s="1"/>
  <c r="C34" i="20"/>
  <c r="B27" i="20"/>
  <c r="B34" i="20" s="1"/>
  <c r="Q15" i="20"/>
  <c r="R15" i="20" s="1"/>
  <c r="S21" i="20"/>
  <c r="F39" i="20" s="1"/>
  <c r="R17" i="20"/>
  <c r="L31" i="20"/>
  <c r="R41" i="20"/>
  <c r="K34" i="19"/>
  <c r="L13" i="19"/>
  <c r="B13" i="19"/>
  <c r="L11" i="19"/>
  <c r="S29" i="19"/>
  <c r="Q29" i="19" s="1"/>
  <c r="P29" i="19" s="1"/>
  <c r="S8" i="19"/>
  <c r="Q8" i="19" s="1"/>
  <c r="P8" i="19" s="1"/>
  <c r="S30" i="19"/>
  <c r="Q30" i="19" s="1"/>
  <c r="P30" i="19" s="1"/>
  <c r="L21" i="19"/>
  <c r="S26" i="19"/>
  <c r="Q26" i="19" s="1"/>
  <c r="P26" i="19" s="1"/>
  <c r="E34" i="19"/>
  <c r="S7" i="19"/>
  <c r="Q7" i="19" s="1"/>
  <c r="P7" i="19" s="1"/>
  <c r="E31" i="19"/>
  <c r="B7" i="19"/>
  <c r="L7" i="19" s="1"/>
  <c r="L23" i="19"/>
  <c r="B15" i="19"/>
  <c r="L15" i="19" s="1"/>
  <c r="S37" i="19"/>
  <c r="Q37" i="19" s="1"/>
  <c r="P37" i="19" s="1"/>
  <c r="R20" i="19"/>
  <c r="P20" i="19"/>
  <c r="S40" i="19"/>
  <c r="R36" i="19"/>
  <c r="P36" i="19"/>
  <c r="R16" i="19"/>
  <c r="P16" i="19"/>
  <c r="M34" i="19"/>
  <c r="U32" i="19"/>
  <c r="H40" i="19" s="1"/>
  <c r="T21" i="19"/>
  <c r="G39" i="19" s="1"/>
  <c r="U42" i="19"/>
  <c r="H41" i="19" s="1"/>
  <c r="R6" i="19"/>
  <c r="S3" i="19"/>
  <c r="U10" i="19"/>
  <c r="H38" i="19" s="1"/>
  <c r="Q25" i="19"/>
  <c r="B17" i="19"/>
  <c r="L17" i="19" s="1"/>
  <c r="S41" i="19"/>
  <c r="Q17" i="19"/>
  <c r="P17" i="19" s="1"/>
  <c r="U21" i="19"/>
  <c r="H39" i="19" s="1"/>
  <c r="S14" i="19"/>
  <c r="Q15" i="19"/>
  <c r="P15" i="19" s="1"/>
  <c r="R31" i="19"/>
  <c r="R27" i="19"/>
  <c r="L10" i="19"/>
  <c r="C8" i="19"/>
  <c r="B8" i="19" s="1"/>
  <c r="Q47" i="19"/>
  <c r="Q48" i="19" s="1"/>
  <c r="S5" i="19"/>
  <c r="C33" i="19"/>
  <c r="B33" i="19" s="1"/>
  <c r="Q39" i="19"/>
  <c r="P39" i="19" s="1"/>
  <c r="C14" i="19"/>
  <c r="B14" i="19"/>
  <c r="S9" i="19"/>
  <c r="H34" i="19"/>
  <c r="S28" i="19"/>
  <c r="L29" i="19"/>
  <c r="S4" i="19"/>
  <c r="T10" i="19"/>
  <c r="G38" i="19" s="1"/>
  <c r="T32" i="19"/>
  <c r="G40" i="19" s="1"/>
  <c r="G34" i="19"/>
  <c r="C27" i="19"/>
  <c r="B27" i="19"/>
  <c r="V10" i="19"/>
  <c r="I38" i="19" s="1"/>
  <c r="E27" i="19"/>
  <c r="E33" i="19"/>
  <c r="L22" i="19"/>
  <c r="S38" i="19"/>
  <c r="T42" i="19"/>
  <c r="G41" i="19" s="1"/>
  <c r="C25" i="19"/>
  <c r="Q19" i="19"/>
  <c r="P19" i="19" s="1"/>
  <c r="L26" i="19"/>
  <c r="L24" i="19"/>
  <c r="D34" i="19"/>
  <c r="D35" i="19" s="1"/>
  <c r="D36" i="19" s="1"/>
  <c r="V21" i="19"/>
  <c r="I39" i="19" s="1"/>
  <c r="V42" i="19"/>
  <c r="I41" i="19" s="1"/>
  <c r="Q18" i="19"/>
  <c r="P18" i="19" s="1"/>
  <c r="C6" i="19"/>
  <c r="B6" i="19" s="1"/>
  <c r="V32" i="19"/>
  <c r="I40" i="19" s="1"/>
  <c r="B31" i="19"/>
  <c r="L31" i="19" s="1"/>
  <c r="F28" i="17"/>
  <c r="G28" i="17"/>
  <c r="H2" i="17"/>
  <c r="H28" i="17" s="1"/>
  <c r="E28" i="17"/>
  <c r="B39" i="17"/>
  <c r="H13" i="15"/>
  <c r="X21" i="17"/>
  <c r="V19" i="17"/>
  <c r="V21" i="17" s="1"/>
  <c r="V6" i="17"/>
  <c r="V8" i="17" s="1"/>
  <c r="Q14" i="17"/>
  <c r="Q8" i="17"/>
  <c r="Q3" i="17"/>
  <c r="Q4" i="17"/>
  <c r="Q5" i="17"/>
  <c r="Q9" i="17"/>
  <c r="Q7" i="17"/>
  <c r="Q13" i="17"/>
  <c r="Q12" i="17"/>
  <c r="Q11" i="17"/>
  <c r="Q15" i="17"/>
  <c r="Q10" i="17"/>
  <c r="Q6" i="17"/>
  <c r="Q16" i="17"/>
  <c r="Q2" i="17"/>
  <c r="H12" i="15"/>
  <c r="C6" i="15"/>
  <c r="O17" i="17"/>
  <c r="D38" i="16"/>
  <c r="D37" i="16"/>
  <c r="H10" i="15"/>
  <c r="H8" i="15"/>
  <c r="C42" i="28" l="1"/>
  <c r="B42" i="28" s="1"/>
  <c r="E42" i="24"/>
  <c r="C38" i="24"/>
  <c r="B38" i="24" s="1"/>
  <c r="D42" i="24"/>
  <c r="C40" i="24"/>
  <c r="B40" i="24" s="1"/>
  <c r="C39" i="24"/>
  <c r="B39" i="24" s="1"/>
  <c r="B40" i="22"/>
  <c r="C38" i="22"/>
  <c r="B38" i="22" s="1"/>
  <c r="D42" i="22"/>
  <c r="C41" i="22"/>
  <c r="B41" i="22" s="1"/>
  <c r="C39" i="22"/>
  <c r="B39" i="22" s="1"/>
  <c r="R28" i="20"/>
  <c r="R32" i="20" s="1"/>
  <c r="E40" i="20" s="1"/>
  <c r="R7" i="20"/>
  <c r="R10" i="20" s="1"/>
  <c r="E38" i="20" s="1"/>
  <c r="R19" i="20"/>
  <c r="R21" i="20" s="1"/>
  <c r="E39" i="20" s="1"/>
  <c r="L27" i="20"/>
  <c r="L34" i="20" s="1"/>
  <c r="P38" i="20"/>
  <c r="P42" i="20" s="1"/>
  <c r="Q42" i="20"/>
  <c r="P3" i="20"/>
  <c r="P10" i="20" s="1"/>
  <c r="Q10" i="20"/>
  <c r="P25" i="20"/>
  <c r="P32" i="20" s="1"/>
  <c r="Q32" i="20"/>
  <c r="F42" i="20"/>
  <c r="R42" i="20"/>
  <c r="E41" i="20" s="1"/>
  <c r="P15" i="20"/>
  <c r="P21" i="20" s="1"/>
  <c r="Q21" i="20"/>
  <c r="B25" i="19"/>
  <c r="L25" i="19" s="1"/>
  <c r="S32" i="19"/>
  <c r="F40" i="19" s="1"/>
  <c r="R37" i="19"/>
  <c r="R47" i="19"/>
  <c r="Q40" i="19"/>
  <c r="P40" i="19" s="1"/>
  <c r="R17" i="19"/>
  <c r="Q3" i="19"/>
  <c r="P3" i="19" s="1"/>
  <c r="H42" i="19"/>
  <c r="R19" i="19"/>
  <c r="L6" i="19"/>
  <c r="C34" i="19"/>
  <c r="R39" i="19"/>
  <c r="R18" i="19"/>
  <c r="L14" i="19"/>
  <c r="P25" i="19"/>
  <c r="Q38" i="19"/>
  <c r="R38" i="19" s="1"/>
  <c r="S42" i="19"/>
  <c r="F41" i="19" s="1"/>
  <c r="L33" i="19"/>
  <c r="Q4" i="19"/>
  <c r="R4" i="19"/>
  <c r="S10" i="19"/>
  <c r="F38" i="19" s="1"/>
  <c r="R7" i="19"/>
  <c r="Q41" i="19"/>
  <c r="P41" i="19" s="1"/>
  <c r="Q5" i="19"/>
  <c r="P5" i="19" s="1"/>
  <c r="Q28" i="19"/>
  <c r="P28" i="19" s="1"/>
  <c r="R8" i="19"/>
  <c r="R30" i="19"/>
  <c r="G42" i="19"/>
  <c r="R15" i="19"/>
  <c r="S21" i="19"/>
  <c r="F39" i="19" s="1"/>
  <c r="Q14" i="19"/>
  <c r="R25" i="19"/>
  <c r="I42" i="19"/>
  <c r="R26" i="19"/>
  <c r="R29" i="19"/>
  <c r="L27" i="19"/>
  <c r="Q9" i="19"/>
  <c r="P9" i="19" s="1"/>
  <c r="L8" i="19"/>
  <c r="Y21" i="17"/>
  <c r="Q17" i="17"/>
  <c r="D6" i="16"/>
  <c r="H5" i="15"/>
  <c r="C42" i="24" l="1"/>
  <c r="B42" i="24" s="1"/>
  <c r="C42" i="22"/>
  <c r="B42" i="22" s="1"/>
  <c r="D40" i="20"/>
  <c r="Q33" i="20"/>
  <c r="E42" i="20"/>
  <c r="D39" i="20"/>
  <c r="Q22" i="20"/>
  <c r="S22" i="20" s="1"/>
  <c r="D38" i="20"/>
  <c r="Q11" i="20"/>
  <c r="Q43" i="20"/>
  <c r="D41" i="20"/>
  <c r="B34" i="19"/>
  <c r="R3" i="19"/>
  <c r="R40" i="19"/>
  <c r="R5" i="19"/>
  <c r="P32" i="19"/>
  <c r="F42" i="19"/>
  <c r="L34" i="19"/>
  <c r="P38" i="19"/>
  <c r="P42" i="19" s="1"/>
  <c r="Q42" i="19"/>
  <c r="R28" i="19"/>
  <c r="R32" i="19" s="1"/>
  <c r="E40" i="19" s="1"/>
  <c r="Q32" i="19"/>
  <c r="Q21" i="19"/>
  <c r="P14" i="19"/>
  <c r="P21" i="19" s="1"/>
  <c r="R14" i="19"/>
  <c r="R21" i="19" s="1"/>
  <c r="E39" i="19" s="1"/>
  <c r="R41" i="19"/>
  <c r="R42" i="19" s="1"/>
  <c r="E41" i="19" s="1"/>
  <c r="P4" i="19"/>
  <c r="P10" i="19" s="1"/>
  <c r="Q10" i="19"/>
  <c r="R9" i="19"/>
  <c r="D5" i="16"/>
  <c r="C41" i="20" l="1"/>
  <c r="B41" i="20" s="1"/>
  <c r="D42" i="20"/>
  <c r="C38" i="20"/>
  <c r="B38" i="20" s="1"/>
  <c r="C39" i="20"/>
  <c r="B39" i="20" s="1"/>
  <c r="C40" i="20"/>
  <c r="B40" i="20" s="1"/>
  <c r="R10" i="19"/>
  <c r="E38" i="19" s="1"/>
  <c r="E42" i="19" s="1"/>
  <c r="D39" i="19"/>
  <c r="Q22" i="19"/>
  <c r="S22" i="19" s="1"/>
  <c r="D41" i="19"/>
  <c r="Q43" i="19"/>
  <c r="Q33" i="19"/>
  <c r="D40" i="19"/>
  <c r="D38" i="19"/>
  <c r="Q11" i="19"/>
  <c r="M1" i="12"/>
  <c r="L3" i="12" s="1"/>
  <c r="K4" i="12"/>
  <c r="J33" i="15"/>
  <c r="K33" i="15" s="1"/>
  <c r="I33" i="15"/>
  <c r="M33" i="15" s="1"/>
  <c r="J32" i="15"/>
  <c r="I32" i="15"/>
  <c r="M32" i="15" s="1"/>
  <c r="J31" i="15"/>
  <c r="K31" i="15" s="1"/>
  <c r="I31" i="15"/>
  <c r="M31" i="15" s="1"/>
  <c r="J30" i="15"/>
  <c r="I30" i="15"/>
  <c r="M30" i="15" s="1"/>
  <c r="J29" i="15"/>
  <c r="K29" i="15" s="1"/>
  <c r="I29" i="15"/>
  <c r="M29" i="15" s="1"/>
  <c r="J28" i="15"/>
  <c r="K28" i="15" s="1"/>
  <c r="I28" i="15"/>
  <c r="J27" i="15"/>
  <c r="K27" i="15" s="1"/>
  <c r="I27" i="15"/>
  <c r="M27" i="15" s="1"/>
  <c r="J26" i="15"/>
  <c r="I26" i="15"/>
  <c r="J25" i="15"/>
  <c r="K25" i="15" s="1"/>
  <c r="I25" i="15"/>
  <c r="V37" i="15" s="1"/>
  <c r="J24" i="15"/>
  <c r="K24" i="15" s="1"/>
  <c r="I24" i="15"/>
  <c r="M24" i="15" s="1"/>
  <c r="J23" i="15"/>
  <c r="K23" i="15" s="1"/>
  <c r="I23" i="15"/>
  <c r="M23" i="15" s="1"/>
  <c r="J22" i="15"/>
  <c r="K22" i="15" s="1"/>
  <c r="I22" i="15"/>
  <c r="V30" i="15" s="1"/>
  <c r="J21" i="15"/>
  <c r="K21" i="15" s="1"/>
  <c r="I21" i="15"/>
  <c r="M21" i="15" s="1"/>
  <c r="J20" i="15"/>
  <c r="K20" i="15" s="1"/>
  <c r="I20" i="15"/>
  <c r="M20" i="15" s="1"/>
  <c r="J19" i="15"/>
  <c r="K19" i="15" s="1"/>
  <c r="I19" i="15"/>
  <c r="M19" i="15" s="1"/>
  <c r="J18" i="15"/>
  <c r="K18" i="15" s="1"/>
  <c r="I18" i="15"/>
  <c r="M18" i="15" s="1"/>
  <c r="J17" i="15"/>
  <c r="I17" i="15"/>
  <c r="M17" i="15" s="1"/>
  <c r="J16" i="15"/>
  <c r="K16" i="15" s="1"/>
  <c r="I16" i="15"/>
  <c r="V20" i="15" s="1"/>
  <c r="J15" i="15"/>
  <c r="K15" i="15" s="1"/>
  <c r="I15" i="15"/>
  <c r="M15" i="15" s="1"/>
  <c r="J14" i="15"/>
  <c r="K14" i="15" s="1"/>
  <c r="I14" i="15"/>
  <c r="M14" i="15" s="1"/>
  <c r="J13" i="15"/>
  <c r="K13" i="15" s="1"/>
  <c r="I13" i="15"/>
  <c r="J12" i="15"/>
  <c r="K12" i="15" s="1"/>
  <c r="I12" i="15"/>
  <c r="M12" i="15" s="1"/>
  <c r="J11" i="15"/>
  <c r="K11" i="15" s="1"/>
  <c r="I11" i="15"/>
  <c r="J10" i="15"/>
  <c r="K10" i="15" s="1"/>
  <c r="I10" i="15"/>
  <c r="J9" i="15"/>
  <c r="K9" i="15" s="1"/>
  <c r="I9" i="15"/>
  <c r="M9" i="15" s="1"/>
  <c r="J8" i="15"/>
  <c r="K8" i="15" s="1"/>
  <c r="I8" i="15"/>
  <c r="M8" i="15" s="1"/>
  <c r="J7" i="15"/>
  <c r="I7" i="15"/>
  <c r="J6" i="15"/>
  <c r="K6" i="15" s="1"/>
  <c r="I6" i="15"/>
  <c r="M6" i="15" s="1"/>
  <c r="J5" i="15"/>
  <c r="K5" i="15" s="1"/>
  <c r="I5" i="15"/>
  <c r="M5" i="15" s="1"/>
  <c r="J4" i="15"/>
  <c r="K4" i="15" s="1"/>
  <c r="I4" i="15"/>
  <c r="M4" i="15" s="1"/>
  <c r="J3" i="15"/>
  <c r="K3" i="15" s="1"/>
  <c r="I3" i="15"/>
  <c r="M3" i="15" s="1"/>
  <c r="D3" i="16"/>
  <c r="D4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7" i="16"/>
  <c r="D108" i="16"/>
  <c r="D109" i="16"/>
  <c r="D110" i="16"/>
  <c r="D111" i="16"/>
  <c r="D112" i="16"/>
  <c r="D113" i="16"/>
  <c r="D114" i="16"/>
  <c r="D115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" i="16"/>
  <c r="T47" i="15"/>
  <c r="O47" i="15"/>
  <c r="O41" i="15"/>
  <c r="O40" i="15"/>
  <c r="U40" i="15" s="1"/>
  <c r="O39" i="15"/>
  <c r="U39" i="15" s="1"/>
  <c r="O38" i="15"/>
  <c r="T38" i="15" s="1"/>
  <c r="A38" i="15"/>
  <c r="O37" i="15"/>
  <c r="T37" i="15" s="1"/>
  <c r="O36" i="15"/>
  <c r="T36" i="15" s="1"/>
  <c r="F33" i="15"/>
  <c r="D33" i="15"/>
  <c r="E33" i="15" s="1"/>
  <c r="C33" i="15"/>
  <c r="B33" i="15" s="1"/>
  <c r="F32" i="15"/>
  <c r="D32" i="15"/>
  <c r="E32" i="15" s="1"/>
  <c r="C32" i="15"/>
  <c r="O31" i="15"/>
  <c r="T31" i="15" s="1"/>
  <c r="F31" i="15"/>
  <c r="D31" i="15" s="1"/>
  <c r="C31" i="15" s="1"/>
  <c r="B31" i="15" s="1"/>
  <c r="O30" i="15"/>
  <c r="U30" i="15" s="1"/>
  <c r="F30" i="15"/>
  <c r="D30" i="15" s="1"/>
  <c r="C30" i="15" s="1"/>
  <c r="O29" i="15"/>
  <c r="F29" i="15"/>
  <c r="D29" i="15" s="1"/>
  <c r="O28" i="15"/>
  <c r="U28" i="15" s="1"/>
  <c r="F28" i="15"/>
  <c r="D28" i="15" s="1"/>
  <c r="O27" i="15"/>
  <c r="F27" i="15"/>
  <c r="O26" i="15"/>
  <c r="U26" i="15" s="1"/>
  <c r="F26" i="15"/>
  <c r="D26" i="15" s="1"/>
  <c r="O25" i="15"/>
  <c r="F25" i="15"/>
  <c r="D25" i="15"/>
  <c r="E25" i="15" s="1"/>
  <c r="F24" i="15"/>
  <c r="D24" i="15" s="1"/>
  <c r="F23" i="15"/>
  <c r="F22" i="15"/>
  <c r="F21" i="15"/>
  <c r="D21" i="15" s="1"/>
  <c r="U20" i="15"/>
  <c r="O20" i="15"/>
  <c r="T20" i="15" s="1"/>
  <c r="F20" i="15"/>
  <c r="O19" i="15"/>
  <c r="F19" i="15"/>
  <c r="D19" i="15" s="1"/>
  <c r="E19" i="15" s="1"/>
  <c r="O18" i="15"/>
  <c r="T18" i="15" s="1"/>
  <c r="F18" i="15"/>
  <c r="O17" i="15"/>
  <c r="T17" i="15" s="1"/>
  <c r="F17" i="15"/>
  <c r="D17" i="15"/>
  <c r="E17" i="15" s="1"/>
  <c r="C17" i="15"/>
  <c r="O16" i="15"/>
  <c r="F16" i="15"/>
  <c r="D16" i="15"/>
  <c r="C16" i="15" s="1"/>
  <c r="B16" i="15" s="1"/>
  <c r="U15" i="15"/>
  <c r="T15" i="15"/>
  <c r="O15" i="15"/>
  <c r="F15" i="15"/>
  <c r="D15" i="15" s="1"/>
  <c r="C15" i="15" s="1"/>
  <c r="O14" i="15"/>
  <c r="F14" i="15"/>
  <c r="D14" i="15"/>
  <c r="C14" i="15" s="1"/>
  <c r="B14" i="15" s="1"/>
  <c r="F12" i="15"/>
  <c r="D12" i="15" s="1"/>
  <c r="E12" i="15"/>
  <c r="F11" i="15"/>
  <c r="D11" i="15" s="1"/>
  <c r="F10" i="15"/>
  <c r="D10" i="15" s="1"/>
  <c r="O9" i="15"/>
  <c r="U9" i="15" s="1"/>
  <c r="F9" i="15"/>
  <c r="D9" i="15"/>
  <c r="E9" i="15" s="1"/>
  <c r="O8" i="15"/>
  <c r="F8" i="15"/>
  <c r="O7" i="15"/>
  <c r="F7" i="15"/>
  <c r="D7" i="15" s="1"/>
  <c r="O6" i="15"/>
  <c r="F6" i="15"/>
  <c r="D6" i="15" s="1"/>
  <c r="U5" i="15"/>
  <c r="T5" i="15"/>
  <c r="O5" i="15"/>
  <c r="F5" i="15"/>
  <c r="D5" i="15" s="1"/>
  <c r="E5" i="15"/>
  <c r="O4" i="15"/>
  <c r="F4" i="15"/>
  <c r="D4" i="15" s="1"/>
  <c r="U3" i="15"/>
  <c r="T3" i="15"/>
  <c r="O3" i="15"/>
  <c r="A42" i="15" s="1"/>
  <c r="F3" i="15"/>
  <c r="M2" i="15"/>
  <c r="K2" i="15"/>
  <c r="F2" i="15"/>
  <c r="D2" i="15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H31" i="13"/>
  <c r="H32" i="13"/>
  <c r="H30" i="13"/>
  <c r="H29" i="13"/>
  <c r="H26" i="13"/>
  <c r="D108" i="14"/>
  <c r="D111" i="14"/>
  <c r="D105" i="14"/>
  <c r="C42" i="20" l="1"/>
  <c r="B42" i="20" s="1"/>
  <c r="C38" i="19"/>
  <c r="B38" i="19" s="1"/>
  <c r="D42" i="19"/>
  <c r="C40" i="19"/>
  <c r="B40" i="19" s="1"/>
  <c r="C41" i="19"/>
  <c r="B41" i="19" s="1"/>
  <c r="C39" i="19"/>
  <c r="B39" i="19" s="1"/>
  <c r="B32" i="15"/>
  <c r="L32" i="15" s="1"/>
  <c r="S5" i="15"/>
  <c r="Q5" i="15" s="1"/>
  <c r="P5" i="15" s="1"/>
  <c r="E24" i="15"/>
  <c r="C24" i="15"/>
  <c r="B24" i="15" s="1"/>
  <c r="L24" i="15" s="1"/>
  <c r="C29" i="15"/>
  <c r="B29" i="15" s="1"/>
  <c r="L29" i="15" s="1"/>
  <c r="E6" i="15"/>
  <c r="E21" i="15"/>
  <c r="C21" i="15"/>
  <c r="E4" i="15"/>
  <c r="C4" i="15"/>
  <c r="B4" i="15" s="1"/>
  <c r="C10" i="15"/>
  <c r="B10" i="15" s="1"/>
  <c r="L10" i="15" s="1"/>
  <c r="E10" i="15"/>
  <c r="E30" i="15"/>
  <c r="B17" i="15"/>
  <c r="E14" i="15"/>
  <c r="E16" i="15"/>
  <c r="D8" i="15"/>
  <c r="E31" i="15"/>
  <c r="C25" i="15"/>
  <c r="B25" i="15" s="1"/>
  <c r="D27" i="15"/>
  <c r="E27" i="15" s="1"/>
  <c r="E29" i="15"/>
  <c r="T26" i="15"/>
  <c r="S26" i="15" s="1"/>
  <c r="Q26" i="15" s="1"/>
  <c r="P26" i="15" s="1"/>
  <c r="M10" i="15"/>
  <c r="T28" i="15"/>
  <c r="S28" i="15" s="1"/>
  <c r="Q28" i="15" s="1"/>
  <c r="P28" i="15" s="1"/>
  <c r="K30" i="15"/>
  <c r="T40" i="15"/>
  <c r="S40" i="15" s="1"/>
  <c r="Q40" i="15" s="1"/>
  <c r="P40" i="15" s="1"/>
  <c r="T9" i="15"/>
  <c r="S9" i="15" s="1"/>
  <c r="Q9" i="15" s="1"/>
  <c r="P9" i="15" s="1"/>
  <c r="A41" i="15"/>
  <c r="U18" i="15"/>
  <c r="S18" i="15" s="1"/>
  <c r="Q18" i="15" s="1"/>
  <c r="P18" i="15" s="1"/>
  <c r="U36" i="15"/>
  <c r="S36" i="15" s="1"/>
  <c r="Q36" i="15" s="1"/>
  <c r="K7" i="15"/>
  <c r="T30" i="15"/>
  <c r="S30" i="15" s="1"/>
  <c r="Q30" i="15" s="1"/>
  <c r="P30" i="15" s="1"/>
  <c r="V7" i="15"/>
  <c r="U37" i="15"/>
  <c r="S37" i="15" s="1"/>
  <c r="Q37" i="15" s="1"/>
  <c r="P37" i="15" s="1"/>
  <c r="S15" i="15"/>
  <c r="Q15" i="15" s="1"/>
  <c r="P15" i="15" s="1"/>
  <c r="V3" i="15"/>
  <c r="V18" i="15"/>
  <c r="V31" i="15"/>
  <c r="V41" i="15"/>
  <c r="V36" i="15"/>
  <c r="L16" i="15"/>
  <c r="M16" i="15"/>
  <c r="M25" i="15"/>
  <c r="V28" i="15"/>
  <c r="K32" i="15"/>
  <c r="L33" i="15"/>
  <c r="K17" i="15"/>
  <c r="C28" i="15"/>
  <c r="B28" i="15" s="1"/>
  <c r="E28" i="15"/>
  <c r="C11" i="15"/>
  <c r="E11" i="15"/>
  <c r="C7" i="15"/>
  <c r="B7" i="15" s="1"/>
  <c r="C12" i="15"/>
  <c r="B12" i="15"/>
  <c r="U25" i="15"/>
  <c r="T25" i="15"/>
  <c r="V25" i="15"/>
  <c r="B30" i="15"/>
  <c r="L30" i="15" s="1"/>
  <c r="A40" i="15"/>
  <c r="D3" i="15"/>
  <c r="U16" i="15"/>
  <c r="T16" i="15"/>
  <c r="V16" i="15"/>
  <c r="C19" i="15"/>
  <c r="V26" i="15"/>
  <c r="E2" i="15"/>
  <c r="M7" i="15"/>
  <c r="E15" i="15"/>
  <c r="M11" i="15"/>
  <c r="V15" i="15"/>
  <c r="I34" i="15"/>
  <c r="C5" i="15"/>
  <c r="B5" i="15" s="1"/>
  <c r="D20" i="15"/>
  <c r="E20" i="15"/>
  <c r="M22" i="15"/>
  <c r="T6" i="15"/>
  <c r="V6" i="15"/>
  <c r="U6" i="15"/>
  <c r="L14" i="15"/>
  <c r="T7" i="15"/>
  <c r="L17" i="15"/>
  <c r="U7" i="15"/>
  <c r="V8" i="15"/>
  <c r="U8" i="15"/>
  <c r="T8" i="15"/>
  <c r="U47" i="15"/>
  <c r="U17" i="15"/>
  <c r="S17" i="15" s="1"/>
  <c r="F13" i="15"/>
  <c r="F34" i="15" s="1"/>
  <c r="G35" i="15" s="1"/>
  <c r="G36" i="15" s="1"/>
  <c r="U14" i="15"/>
  <c r="T14" i="15"/>
  <c r="A39" i="15"/>
  <c r="V14" i="15"/>
  <c r="D18" i="15"/>
  <c r="S20" i="15"/>
  <c r="E26" i="15"/>
  <c r="M28" i="15"/>
  <c r="V40" i="15"/>
  <c r="M26" i="15"/>
  <c r="V38" i="15"/>
  <c r="S47" i="15"/>
  <c r="V29" i="15"/>
  <c r="T29" i="15"/>
  <c r="U29" i="15"/>
  <c r="U27" i="15"/>
  <c r="V27" i="15"/>
  <c r="T27" i="15"/>
  <c r="J34" i="15"/>
  <c r="V47" i="15"/>
  <c r="V4" i="15"/>
  <c r="U4" i="15"/>
  <c r="T4" i="15"/>
  <c r="V5" i="15"/>
  <c r="V9" i="15"/>
  <c r="M13" i="15"/>
  <c r="V17" i="15"/>
  <c r="B15" i="15"/>
  <c r="L15" i="15" s="1"/>
  <c r="L25" i="15"/>
  <c r="C26" i="15"/>
  <c r="B26" i="15" s="1"/>
  <c r="B2" i="15"/>
  <c r="S3" i="15"/>
  <c r="B6" i="15"/>
  <c r="L6" i="15" s="1"/>
  <c r="E7" i="15"/>
  <c r="C9" i="15"/>
  <c r="B9" i="15" s="1"/>
  <c r="T19" i="15"/>
  <c r="V19" i="15"/>
  <c r="U19" i="15"/>
  <c r="E22" i="15"/>
  <c r="U38" i="15"/>
  <c r="S38" i="15" s="1"/>
  <c r="K26" i="15"/>
  <c r="L31" i="15"/>
  <c r="U41" i="15"/>
  <c r="U31" i="15"/>
  <c r="S31" i="15" s="1"/>
  <c r="V39" i="15"/>
  <c r="T41" i="15"/>
  <c r="D22" i="15"/>
  <c r="D23" i="15"/>
  <c r="T39" i="15"/>
  <c r="S39" i="15" s="1"/>
  <c r="C42" i="19" l="1"/>
  <c r="B42" i="19" s="1"/>
  <c r="S4" i="15"/>
  <c r="Q4" i="15" s="1"/>
  <c r="P4" i="15" s="1"/>
  <c r="S27" i="15"/>
  <c r="Q27" i="15" s="1"/>
  <c r="P27" i="15" s="1"/>
  <c r="B21" i="15"/>
  <c r="L21" i="15" s="1"/>
  <c r="L4" i="15"/>
  <c r="S16" i="15"/>
  <c r="Q16" i="15" s="1"/>
  <c r="L7" i="15"/>
  <c r="C8" i="15"/>
  <c r="B8" i="15" s="1"/>
  <c r="E8" i="15"/>
  <c r="C27" i="15"/>
  <c r="B27" i="15"/>
  <c r="R28" i="15"/>
  <c r="R9" i="15"/>
  <c r="R30" i="15"/>
  <c r="R15" i="15"/>
  <c r="S8" i="15"/>
  <c r="Q8" i="15" s="1"/>
  <c r="P8" i="15" s="1"/>
  <c r="R26" i="15"/>
  <c r="R40" i="15"/>
  <c r="S41" i="15"/>
  <c r="S42" i="15" s="1"/>
  <c r="F41" i="15" s="1"/>
  <c r="K34" i="15"/>
  <c r="V42" i="15"/>
  <c r="I41" i="15" s="1"/>
  <c r="R37" i="15"/>
  <c r="R18" i="15"/>
  <c r="V10" i="15"/>
  <c r="I38" i="15" s="1"/>
  <c r="R36" i="15"/>
  <c r="M34" i="15"/>
  <c r="U10" i="15"/>
  <c r="H38" i="15" s="1"/>
  <c r="S6" i="15"/>
  <c r="Q6" i="15" s="1"/>
  <c r="P6" i="15" s="1"/>
  <c r="L26" i="15"/>
  <c r="Q38" i="15"/>
  <c r="P38" i="15" s="1"/>
  <c r="Q20" i="15"/>
  <c r="P20" i="15" s="1"/>
  <c r="Q31" i="15"/>
  <c r="P31" i="15" s="1"/>
  <c r="C3" i="15"/>
  <c r="B3" i="15"/>
  <c r="E3" i="15"/>
  <c r="S19" i="15"/>
  <c r="C22" i="15"/>
  <c r="B22" i="15" s="1"/>
  <c r="V21" i="15"/>
  <c r="I39" i="15" s="1"/>
  <c r="V32" i="15"/>
  <c r="I40" i="15" s="1"/>
  <c r="U21" i="15"/>
  <c r="H39" i="15" s="1"/>
  <c r="S25" i="15"/>
  <c r="T32" i="15"/>
  <c r="G40" i="15" s="1"/>
  <c r="S14" i="15"/>
  <c r="T21" i="15"/>
  <c r="G39" i="15" s="1"/>
  <c r="R5" i="15"/>
  <c r="Q3" i="15"/>
  <c r="R3" i="15" s="1"/>
  <c r="T10" i="15"/>
  <c r="G38" i="15" s="1"/>
  <c r="D13" i="15"/>
  <c r="G34" i="15" s="1"/>
  <c r="U32" i="15"/>
  <c r="H40" i="15" s="1"/>
  <c r="B11" i="15"/>
  <c r="L11" i="15" s="1"/>
  <c r="L28" i="15"/>
  <c r="L12" i="15"/>
  <c r="Q39" i="15"/>
  <c r="P39" i="15" s="1"/>
  <c r="C18" i="15"/>
  <c r="C23" i="15"/>
  <c r="B23" i="15"/>
  <c r="E18" i="15"/>
  <c r="L9" i="15"/>
  <c r="S7" i="15"/>
  <c r="C20" i="15"/>
  <c r="B20" i="15"/>
  <c r="U42" i="15"/>
  <c r="H41" i="15" s="1"/>
  <c r="S29" i="15"/>
  <c r="L5" i="15"/>
  <c r="L2" i="15"/>
  <c r="T42" i="15"/>
  <c r="G41" i="15" s="1"/>
  <c r="Q17" i="15"/>
  <c r="P17" i="15" s="1"/>
  <c r="B19" i="15"/>
  <c r="L19" i="15" s="1"/>
  <c r="E23" i="15"/>
  <c r="P36" i="15"/>
  <c r="K27" i="4"/>
  <c r="Q19" i="4"/>
  <c r="R19" i="4"/>
  <c r="S19" i="4"/>
  <c r="T19" i="4"/>
  <c r="P19" i="4"/>
  <c r="U3" i="4"/>
  <c r="U19" i="4" s="1"/>
  <c r="H18" i="13"/>
  <c r="H17" i="13"/>
  <c r="J28" i="4" l="1"/>
  <c r="E34" i="15"/>
  <c r="P16" i="15"/>
  <c r="R16" i="15"/>
  <c r="L27" i="15"/>
  <c r="L8" i="15"/>
  <c r="Q41" i="15"/>
  <c r="P41" i="15" s="1"/>
  <c r="P42" i="15" s="1"/>
  <c r="H42" i="15"/>
  <c r="I42" i="15"/>
  <c r="R20" i="15"/>
  <c r="S10" i="15"/>
  <c r="F38" i="15" s="1"/>
  <c r="R8" i="15"/>
  <c r="R38" i="15"/>
  <c r="Q14" i="15"/>
  <c r="R14" i="15" s="1"/>
  <c r="S21" i="15"/>
  <c r="F39" i="15" s="1"/>
  <c r="L23" i="15"/>
  <c r="Q29" i="15"/>
  <c r="P29" i="15" s="1"/>
  <c r="C13" i="15"/>
  <c r="B13" i="15"/>
  <c r="Q47" i="15"/>
  <c r="Q48" i="15" s="1"/>
  <c r="H34" i="15"/>
  <c r="R6" i="15"/>
  <c r="R27" i="15"/>
  <c r="R4" i="15"/>
  <c r="Q19" i="15"/>
  <c r="P19" i="15" s="1"/>
  <c r="B18" i="15"/>
  <c r="L18" i="15" s="1"/>
  <c r="E13" i="15"/>
  <c r="R47" i="15" s="1"/>
  <c r="R39" i="15"/>
  <c r="G42" i="15"/>
  <c r="L20" i="15"/>
  <c r="R31" i="15"/>
  <c r="R17" i="15"/>
  <c r="L22" i="15"/>
  <c r="L3" i="15"/>
  <c r="S32" i="15"/>
  <c r="F40" i="15" s="1"/>
  <c r="Q25" i="15"/>
  <c r="Q7" i="15"/>
  <c r="P7" i="15" s="1"/>
  <c r="P3" i="15"/>
  <c r="D34" i="15"/>
  <c r="D35" i="15" s="1"/>
  <c r="D36" i="15" s="1"/>
  <c r="H13" i="13"/>
  <c r="H7" i="13"/>
  <c r="G7" i="13"/>
  <c r="Q42" i="15" l="1"/>
  <c r="Q43" i="15" s="1"/>
  <c r="R7" i="15"/>
  <c r="R10" i="15" s="1"/>
  <c r="E38" i="15" s="1"/>
  <c r="B34" i="15"/>
  <c r="F42" i="15"/>
  <c r="Q10" i="15"/>
  <c r="D38" i="15" s="1"/>
  <c r="P10" i="15"/>
  <c r="R29" i="15"/>
  <c r="R41" i="15"/>
  <c r="R42" i="15" s="1"/>
  <c r="E41" i="15" s="1"/>
  <c r="P25" i="15"/>
  <c r="P32" i="15" s="1"/>
  <c r="Q32" i="15"/>
  <c r="R25" i="15"/>
  <c r="R32" i="15" s="1"/>
  <c r="E40" i="15" s="1"/>
  <c r="L13" i="15"/>
  <c r="L34" i="15" s="1"/>
  <c r="C34" i="15"/>
  <c r="R19" i="15"/>
  <c r="R21" i="15" s="1"/>
  <c r="E39" i="15" s="1"/>
  <c r="P14" i="15"/>
  <c r="P21" i="15" s="1"/>
  <c r="Q21" i="15"/>
  <c r="L11" i="4"/>
  <c r="I15" i="4" s="1"/>
  <c r="D6" i="14"/>
  <c r="D7" i="14"/>
  <c r="D8" i="14"/>
  <c r="D9" i="14"/>
  <c r="C24" i="12"/>
  <c r="D41" i="15" l="1"/>
  <c r="C41" i="15" s="1"/>
  <c r="B41" i="15" s="1"/>
  <c r="Q11" i="15"/>
  <c r="E42" i="15"/>
  <c r="C38" i="15"/>
  <c r="B38" i="15" s="1"/>
  <c r="D39" i="15"/>
  <c r="Q22" i="15"/>
  <c r="S22" i="15" s="1"/>
  <c r="Q33" i="15"/>
  <c r="D40" i="15"/>
  <c r="I21" i="4"/>
  <c r="I22" i="4"/>
  <c r="I19" i="4"/>
  <c r="I20" i="4"/>
  <c r="I18" i="4"/>
  <c r="I17" i="4"/>
  <c r="I16" i="4"/>
  <c r="C40" i="15" l="1"/>
  <c r="B40" i="15" s="1"/>
  <c r="C39" i="15"/>
  <c r="B39" i="15" s="1"/>
  <c r="D42" i="15"/>
  <c r="M9" i="4"/>
  <c r="J8" i="4"/>
  <c r="H32" i="6"/>
  <c r="C42" i="15" l="1"/>
  <c r="B42" i="15" s="1"/>
  <c r="D3" i="14"/>
  <c r="D4" i="14"/>
  <c r="D5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6" i="14"/>
  <c r="D107" i="14"/>
  <c r="D109" i="14"/>
  <c r="D110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2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J33" i="13"/>
  <c r="K33" i="13" s="1"/>
  <c r="I33" i="13"/>
  <c r="M33" i="13" s="1"/>
  <c r="J32" i="13"/>
  <c r="K32" i="13" s="1"/>
  <c r="I32" i="13"/>
  <c r="M32" i="13" s="1"/>
  <c r="J31" i="13"/>
  <c r="K31" i="13" s="1"/>
  <c r="I31" i="13"/>
  <c r="M31" i="13" s="1"/>
  <c r="J30" i="13"/>
  <c r="K30" i="13" s="1"/>
  <c r="I30" i="13"/>
  <c r="M30" i="13" s="1"/>
  <c r="J29" i="13"/>
  <c r="I29" i="13"/>
  <c r="M29" i="13" s="1"/>
  <c r="J28" i="13"/>
  <c r="K28" i="13" s="1"/>
  <c r="I28" i="13"/>
  <c r="M28" i="13" s="1"/>
  <c r="J27" i="13"/>
  <c r="K27" i="13" s="1"/>
  <c r="I27" i="13"/>
  <c r="M27" i="13" s="1"/>
  <c r="J26" i="13"/>
  <c r="K26" i="13" s="1"/>
  <c r="I26" i="13"/>
  <c r="M26" i="13" s="1"/>
  <c r="J25" i="13"/>
  <c r="K25" i="13" s="1"/>
  <c r="I25" i="13"/>
  <c r="M25" i="13" s="1"/>
  <c r="J24" i="13"/>
  <c r="K24" i="13" s="1"/>
  <c r="I24" i="13"/>
  <c r="M24" i="13" s="1"/>
  <c r="J23" i="13"/>
  <c r="K23" i="13" s="1"/>
  <c r="I23" i="13"/>
  <c r="M23" i="13" s="1"/>
  <c r="J22" i="13"/>
  <c r="K22" i="13" s="1"/>
  <c r="I22" i="13"/>
  <c r="M22" i="13" s="1"/>
  <c r="J21" i="13"/>
  <c r="K21" i="13" s="1"/>
  <c r="I21" i="13"/>
  <c r="M21" i="13" s="1"/>
  <c r="J20" i="13"/>
  <c r="K20" i="13" s="1"/>
  <c r="I20" i="13"/>
  <c r="M20" i="13" s="1"/>
  <c r="J19" i="13"/>
  <c r="K19" i="13" s="1"/>
  <c r="I19" i="13"/>
  <c r="M19" i="13" s="1"/>
  <c r="J18" i="13"/>
  <c r="K18" i="13" s="1"/>
  <c r="I18" i="13"/>
  <c r="M18" i="13" s="1"/>
  <c r="J17" i="13"/>
  <c r="K17" i="13" s="1"/>
  <c r="I17" i="13"/>
  <c r="M17" i="13" s="1"/>
  <c r="J16" i="13"/>
  <c r="K16" i="13" s="1"/>
  <c r="I16" i="13"/>
  <c r="M16" i="13" s="1"/>
  <c r="J15" i="13"/>
  <c r="K15" i="13" s="1"/>
  <c r="I15" i="13"/>
  <c r="M15" i="13" s="1"/>
  <c r="J14" i="13"/>
  <c r="K14" i="13" s="1"/>
  <c r="I14" i="13"/>
  <c r="M14" i="13" s="1"/>
  <c r="J13" i="13"/>
  <c r="K13" i="13" s="1"/>
  <c r="I13" i="13"/>
  <c r="M13" i="13" s="1"/>
  <c r="J12" i="13"/>
  <c r="K12" i="13" s="1"/>
  <c r="I12" i="13"/>
  <c r="M12" i="13" s="1"/>
  <c r="J11" i="13"/>
  <c r="K11" i="13" s="1"/>
  <c r="I11" i="13"/>
  <c r="M11" i="13" s="1"/>
  <c r="J10" i="13"/>
  <c r="K10" i="13" s="1"/>
  <c r="I10" i="13"/>
  <c r="M10" i="13" s="1"/>
  <c r="J9" i="13"/>
  <c r="K9" i="13" s="1"/>
  <c r="I9" i="13"/>
  <c r="M9" i="13" s="1"/>
  <c r="J8" i="13"/>
  <c r="K8" i="13" s="1"/>
  <c r="I8" i="13"/>
  <c r="M8" i="13" s="1"/>
  <c r="J7" i="13"/>
  <c r="K7" i="13" s="1"/>
  <c r="I7" i="13"/>
  <c r="M7" i="13" s="1"/>
  <c r="J6" i="13"/>
  <c r="K6" i="13" s="1"/>
  <c r="I6" i="13"/>
  <c r="M6" i="13" s="1"/>
  <c r="J5" i="13"/>
  <c r="K5" i="13" s="1"/>
  <c r="I5" i="13"/>
  <c r="M5" i="13" s="1"/>
  <c r="J4" i="13"/>
  <c r="K4" i="13" s="1"/>
  <c r="I4" i="13"/>
  <c r="M4" i="13" s="1"/>
  <c r="J3" i="13"/>
  <c r="K3" i="13" s="1"/>
  <c r="I3" i="13"/>
  <c r="M3" i="13" s="1"/>
  <c r="F3" i="13"/>
  <c r="D3" i="13" s="1"/>
  <c r="F4" i="13"/>
  <c r="D4" i="13" s="1"/>
  <c r="F5" i="13"/>
  <c r="D5" i="13" s="1"/>
  <c r="F6" i="13"/>
  <c r="F7" i="13"/>
  <c r="D7" i="13" s="1"/>
  <c r="F9" i="13"/>
  <c r="D9" i="13" s="1"/>
  <c r="F10" i="13"/>
  <c r="F11" i="13"/>
  <c r="D11" i="13" s="1"/>
  <c r="C11" i="13" s="1"/>
  <c r="F12" i="13"/>
  <c r="D12" i="13" s="1"/>
  <c r="C12" i="13" s="1"/>
  <c r="F13" i="13"/>
  <c r="D13" i="13" s="1"/>
  <c r="F14" i="13"/>
  <c r="F15" i="13"/>
  <c r="F16" i="13"/>
  <c r="F17" i="13"/>
  <c r="D17" i="13" s="1"/>
  <c r="C17" i="13" s="1"/>
  <c r="F18" i="13"/>
  <c r="D18" i="13" s="1"/>
  <c r="F19" i="13"/>
  <c r="F21" i="13"/>
  <c r="D21" i="13" s="1"/>
  <c r="F22" i="13"/>
  <c r="F23" i="13"/>
  <c r="F24" i="13"/>
  <c r="F25" i="13"/>
  <c r="D25" i="13" s="1"/>
  <c r="F26" i="13"/>
  <c r="D26" i="13" s="1"/>
  <c r="C26" i="13" s="1"/>
  <c r="F27" i="13"/>
  <c r="D27" i="13" s="1"/>
  <c r="F28" i="13"/>
  <c r="F30" i="13"/>
  <c r="F31" i="13"/>
  <c r="D31" i="13" s="1"/>
  <c r="F32" i="13"/>
  <c r="F33" i="13"/>
  <c r="D33" i="13" s="1"/>
  <c r="T47" i="13"/>
  <c r="O47" i="13"/>
  <c r="O41" i="13"/>
  <c r="O40" i="13"/>
  <c r="U40" i="13" s="1"/>
  <c r="O39" i="13"/>
  <c r="U39" i="13" s="1"/>
  <c r="O38" i="13"/>
  <c r="T38" i="13" s="1"/>
  <c r="O37" i="13"/>
  <c r="O36" i="13"/>
  <c r="O31" i="13"/>
  <c r="U31" i="13" s="1"/>
  <c r="O30" i="13"/>
  <c r="O29" i="13"/>
  <c r="O28" i="13"/>
  <c r="U28" i="13" s="1"/>
  <c r="O27" i="13"/>
  <c r="O26" i="13"/>
  <c r="U26" i="13" s="1"/>
  <c r="O25" i="13"/>
  <c r="O20" i="13"/>
  <c r="O19" i="13"/>
  <c r="T19" i="13" s="1"/>
  <c r="O18" i="13"/>
  <c r="O17" i="13"/>
  <c r="U17" i="13" s="1"/>
  <c r="O16" i="13"/>
  <c r="O15" i="13"/>
  <c r="U15" i="13" s="1"/>
  <c r="O14" i="13"/>
  <c r="O9" i="13"/>
  <c r="U9" i="13" s="1"/>
  <c r="O8" i="13"/>
  <c r="O7" i="13"/>
  <c r="U7" i="13" s="1"/>
  <c r="O6" i="13"/>
  <c r="O5" i="13"/>
  <c r="U5" i="13" s="1"/>
  <c r="O4" i="13"/>
  <c r="T4" i="13" s="1"/>
  <c r="O3" i="13"/>
  <c r="M2" i="13"/>
  <c r="K2" i="13"/>
  <c r="F2" i="13"/>
  <c r="D2" i="13"/>
  <c r="D118" i="7"/>
  <c r="H30" i="6"/>
  <c r="H29" i="6"/>
  <c r="D102" i="7"/>
  <c r="D98" i="7"/>
  <c r="D101" i="7"/>
  <c r="D97" i="7"/>
  <c r="D96" i="7"/>
  <c r="D99" i="7"/>
  <c r="H24" i="6"/>
  <c r="D15" i="13" l="1"/>
  <c r="E15" i="13" s="1"/>
  <c r="D6" i="13"/>
  <c r="E6" i="13" s="1"/>
  <c r="E27" i="13"/>
  <c r="E18" i="13"/>
  <c r="B17" i="13"/>
  <c r="L17" i="13" s="1"/>
  <c r="E31" i="13"/>
  <c r="D28" i="13"/>
  <c r="E28" i="13" s="1"/>
  <c r="C5" i="13"/>
  <c r="C21" i="13"/>
  <c r="B21" i="13" s="1"/>
  <c r="D22" i="13"/>
  <c r="E22" i="13"/>
  <c r="C9" i="13"/>
  <c r="B9" i="13" s="1"/>
  <c r="D23" i="13"/>
  <c r="E23" i="13" s="1"/>
  <c r="C13" i="13"/>
  <c r="B13" i="13" s="1"/>
  <c r="C7" i="13"/>
  <c r="B7" i="13" s="1"/>
  <c r="D30" i="13"/>
  <c r="E30" i="13"/>
  <c r="D24" i="13"/>
  <c r="E24" i="13"/>
  <c r="C31" i="13"/>
  <c r="B31" i="13" s="1"/>
  <c r="U47" i="13"/>
  <c r="E13" i="13"/>
  <c r="B12" i="13"/>
  <c r="L12" i="13" s="1"/>
  <c r="F8" i="13"/>
  <c r="B26" i="13"/>
  <c r="L26" i="13" s="1"/>
  <c r="D10" i="13"/>
  <c r="C18" i="13"/>
  <c r="B18" i="13" s="1"/>
  <c r="C27" i="13"/>
  <c r="B27" i="13" s="1"/>
  <c r="F20" i="13"/>
  <c r="D19" i="13"/>
  <c r="E19" i="13" s="1"/>
  <c r="D16" i="13"/>
  <c r="E16" i="13" s="1"/>
  <c r="D14" i="13"/>
  <c r="E5" i="13"/>
  <c r="C4" i="13"/>
  <c r="B4" i="13" s="1"/>
  <c r="C33" i="13"/>
  <c r="C28" i="13"/>
  <c r="C25" i="13"/>
  <c r="B25" i="13" s="1"/>
  <c r="B11" i="13"/>
  <c r="L11" i="13" s="1"/>
  <c r="E9" i="13"/>
  <c r="K29" i="13"/>
  <c r="K34" i="13" s="1"/>
  <c r="E21" i="13"/>
  <c r="E7" i="13"/>
  <c r="C6" i="13"/>
  <c r="D32" i="13"/>
  <c r="E32" i="13"/>
  <c r="U30" i="13"/>
  <c r="F29" i="13"/>
  <c r="E12" i="13"/>
  <c r="C3" i="13"/>
  <c r="B3" i="13" s="1"/>
  <c r="U36" i="13"/>
  <c r="E25" i="13"/>
  <c r="E3" i="13"/>
  <c r="V37" i="13"/>
  <c r="E17" i="13"/>
  <c r="E11" i="13"/>
  <c r="E33" i="13"/>
  <c r="E26" i="13"/>
  <c r="E4" i="13"/>
  <c r="U4" i="13"/>
  <c r="S4" i="13" s="1"/>
  <c r="U19" i="13"/>
  <c r="S19" i="13" s="1"/>
  <c r="Q19" i="13" s="1"/>
  <c r="P19" i="13" s="1"/>
  <c r="V30" i="13"/>
  <c r="V31" i="13"/>
  <c r="V17" i="13"/>
  <c r="V36" i="13"/>
  <c r="V28" i="13"/>
  <c r="T28" i="13"/>
  <c r="S28" i="13" s="1"/>
  <c r="Q28" i="13" s="1"/>
  <c r="P28" i="13" s="1"/>
  <c r="T37" i="13"/>
  <c r="V5" i="13"/>
  <c r="U37" i="13"/>
  <c r="T15" i="13"/>
  <c r="S15" i="13" s="1"/>
  <c r="T7" i="13"/>
  <c r="S7" i="13" s="1"/>
  <c r="Q7" i="13" s="1"/>
  <c r="P7" i="13" s="1"/>
  <c r="T30" i="13"/>
  <c r="T17" i="13"/>
  <c r="S17" i="13" s="1"/>
  <c r="Q17" i="13" s="1"/>
  <c r="P17" i="13" s="1"/>
  <c r="T31" i="13"/>
  <c r="S31" i="13" s="1"/>
  <c r="Q31" i="13" s="1"/>
  <c r="P31" i="13" s="1"/>
  <c r="T40" i="13"/>
  <c r="S40" i="13" s="1"/>
  <c r="Q40" i="13" s="1"/>
  <c r="P40" i="13" s="1"/>
  <c r="T26" i="13"/>
  <c r="S26" i="13" s="1"/>
  <c r="T9" i="13"/>
  <c r="S9" i="13" s="1"/>
  <c r="T36" i="13"/>
  <c r="V38" i="13"/>
  <c r="V7" i="13"/>
  <c r="V41" i="13"/>
  <c r="V9" i="13"/>
  <c r="V26" i="13"/>
  <c r="J34" i="13"/>
  <c r="U14" i="13"/>
  <c r="T14" i="13"/>
  <c r="A39" i="13"/>
  <c r="V14" i="13"/>
  <c r="V20" i="13"/>
  <c r="U20" i="13"/>
  <c r="T20" i="13"/>
  <c r="U25" i="13"/>
  <c r="T25" i="13"/>
  <c r="A40" i="13"/>
  <c r="V25" i="13"/>
  <c r="V19" i="13"/>
  <c r="V6" i="13"/>
  <c r="U6" i="13"/>
  <c r="T6" i="13"/>
  <c r="M34" i="13"/>
  <c r="V40" i="13"/>
  <c r="B2" i="13"/>
  <c r="A42" i="13"/>
  <c r="A38" i="13"/>
  <c r="V3" i="13"/>
  <c r="U3" i="13"/>
  <c r="T3" i="13"/>
  <c r="U27" i="13"/>
  <c r="T27" i="13"/>
  <c r="V27" i="13"/>
  <c r="U8" i="13"/>
  <c r="T8" i="13"/>
  <c r="V8" i="13"/>
  <c r="V15" i="13"/>
  <c r="U18" i="13"/>
  <c r="T18" i="13"/>
  <c r="V18" i="13"/>
  <c r="E2" i="13"/>
  <c r="V47" i="13"/>
  <c r="U16" i="13"/>
  <c r="T16" i="13"/>
  <c r="V16" i="13"/>
  <c r="I34" i="13"/>
  <c r="T29" i="13"/>
  <c r="V29" i="13"/>
  <c r="U29" i="13"/>
  <c r="V4" i="13"/>
  <c r="V39" i="13"/>
  <c r="T5" i="13"/>
  <c r="S5" i="13" s="1"/>
  <c r="U38" i="13"/>
  <c r="S38" i="13" s="1"/>
  <c r="A41" i="13"/>
  <c r="T41" i="13"/>
  <c r="U41" i="13"/>
  <c r="T39" i="13"/>
  <c r="S39" i="13" s="1"/>
  <c r="S47" i="13" l="1"/>
  <c r="C15" i="13"/>
  <c r="B15" i="13" s="1"/>
  <c r="L4" i="13"/>
  <c r="S36" i="13"/>
  <c r="Q36" i="13" s="1"/>
  <c r="F34" i="13"/>
  <c r="G35" i="13" s="1"/>
  <c r="G36" i="13" s="1"/>
  <c r="S30" i="13"/>
  <c r="Q30" i="13" s="1"/>
  <c r="P30" i="13" s="1"/>
  <c r="C14" i="13"/>
  <c r="L7" i="13"/>
  <c r="C22" i="13"/>
  <c r="B22" i="13" s="1"/>
  <c r="L13" i="13"/>
  <c r="C10" i="13"/>
  <c r="C32" i="13"/>
  <c r="B32" i="13" s="1"/>
  <c r="C16" i="13"/>
  <c r="D20" i="13"/>
  <c r="E20" i="13" s="1"/>
  <c r="B28" i="13"/>
  <c r="L28" i="13" s="1"/>
  <c r="C23" i="13"/>
  <c r="L21" i="13"/>
  <c r="L27" i="13"/>
  <c r="L15" i="13"/>
  <c r="D8" i="13"/>
  <c r="C30" i="13"/>
  <c r="C19" i="13"/>
  <c r="D29" i="13"/>
  <c r="E29" i="13" s="1"/>
  <c r="L25" i="13"/>
  <c r="L18" i="13"/>
  <c r="C24" i="13"/>
  <c r="B24" i="13" s="1"/>
  <c r="B6" i="13"/>
  <c r="L6" i="13" s="1"/>
  <c r="B5" i="13"/>
  <c r="L5" i="13" s="1"/>
  <c r="L31" i="13"/>
  <c r="L3" i="13"/>
  <c r="E10" i="13"/>
  <c r="E14" i="13"/>
  <c r="L9" i="13"/>
  <c r="B33" i="13"/>
  <c r="L33" i="13" s="1"/>
  <c r="S18" i="13"/>
  <c r="Q18" i="13" s="1"/>
  <c r="P18" i="13" s="1"/>
  <c r="S27" i="13"/>
  <c r="Q27" i="13" s="1"/>
  <c r="P27" i="13" s="1"/>
  <c r="Q4" i="13"/>
  <c r="P4" i="13" s="1"/>
  <c r="U10" i="13"/>
  <c r="H38" i="13" s="1"/>
  <c r="S37" i="13"/>
  <c r="Q37" i="13" s="1"/>
  <c r="P37" i="13" s="1"/>
  <c r="S8" i="13"/>
  <c r="Q8" i="13" s="1"/>
  <c r="P8" i="13" s="1"/>
  <c r="S20" i="13"/>
  <c r="Q20" i="13" s="1"/>
  <c r="P20" i="13" s="1"/>
  <c r="V32" i="13"/>
  <c r="I40" i="13" s="1"/>
  <c r="V42" i="13"/>
  <c r="I41" i="13" s="1"/>
  <c r="S16" i="13"/>
  <c r="Q16" i="13" s="1"/>
  <c r="P16" i="13" s="1"/>
  <c r="V10" i="13"/>
  <c r="I38" i="13" s="1"/>
  <c r="R40" i="13"/>
  <c r="Q39" i="13"/>
  <c r="P39" i="13" s="1"/>
  <c r="R28" i="13"/>
  <c r="L2" i="13"/>
  <c r="U32" i="13"/>
  <c r="H40" i="13" s="1"/>
  <c r="Q15" i="13"/>
  <c r="P15" i="13" s="1"/>
  <c r="U42" i="13"/>
  <c r="H41" i="13" s="1"/>
  <c r="Q26" i="13"/>
  <c r="P26" i="13" s="1"/>
  <c r="S14" i="13"/>
  <c r="T21" i="13"/>
  <c r="G39" i="13" s="1"/>
  <c r="R31" i="13"/>
  <c r="U21" i="13"/>
  <c r="H39" i="13" s="1"/>
  <c r="R17" i="13"/>
  <c r="T42" i="13"/>
  <c r="G41" i="13" s="1"/>
  <c r="R19" i="13"/>
  <c r="V21" i="13"/>
  <c r="I39" i="13" s="1"/>
  <c r="S41" i="13"/>
  <c r="Q38" i="13"/>
  <c r="P38" i="13" s="1"/>
  <c r="S25" i="13"/>
  <c r="T32" i="13"/>
  <c r="G40" i="13" s="1"/>
  <c r="Q5" i="13"/>
  <c r="P5" i="13" s="1"/>
  <c r="S29" i="13"/>
  <c r="Q9" i="13"/>
  <c r="P9" i="13" s="1"/>
  <c r="S3" i="13"/>
  <c r="T10" i="13"/>
  <c r="G38" i="13" s="1"/>
  <c r="S6" i="13"/>
  <c r="R7" i="13"/>
  <c r="H23" i="6"/>
  <c r="H34" i="13" l="1"/>
  <c r="R30" i="13"/>
  <c r="D34" i="13"/>
  <c r="D35" i="13" s="1"/>
  <c r="D36" i="13" s="1"/>
  <c r="E34" i="13"/>
  <c r="G34" i="13"/>
  <c r="B23" i="13"/>
  <c r="L23" i="13" s="1"/>
  <c r="B19" i="13"/>
  <c r="L19" i="13" s="1"/>
  <c r="B10" i="13"/>
  <c r="L10" i="13" s="1"/>
  <c r="L22" i="13"/>
  <c r="L30" i="13"/>
  <c r="C8" i="13"/>
  <c r="Q47" i="13"/>
  <c r="Q48" i="13" s="1"/>
  <c r="C29" i="13"/>
  <c r="B29" i="13" s="1"/>
  <c r="B14" i="13"/>
  <c r="L14" i="13" s="1"/>
  <c r="E8" i="13"/>
  <c r="R47" i="13" s="1"/>
  <c r="B16" i="13"/>
  <c r="L16" i="13" s="1"/>
  <c r="B30" i="13"/>
  <c r="C20" i="13"/>
  <c r="L24" i="13"/>
  <c r="L32" i="13"/>
  <c r="R4" i="13"/>
  <c r="S42" i="13"/>
  <c r="F41" i="13" s="1"/>
  <c r="R37" i="13"/>
  <c r="R18" i="13"/>
  <c r="H42" i="13"/>
  <c r="R5" i="13"/>
  <c r="R15" i="13"/>
  <c r="S21" i="13"/>
  <c r="F39" i="13" s="1"/>
  <c r="Q14" i="13"/>
  <c r="R14" i="13" s="1"/>
  <c r="I42" i="13"/>
  <c r="Q25" i="13"/>
  <c r="S32" i="13"/>
  <c r="F40" i="13" s="1"/>
  <c r="R9" i="13"/>
  <c r="R8" i="13"/>
  <c r="Q3" i="13"/>
  <c r="S10" i="13"/>
  <c r="F38" i="13" s="1"/>
  <c r="P36" i="13"/>
  <c r="R38" i="13"/>
  <c r="Q29" i="13"/>
  <c r="P29" i="13" s="1"/>
  <c r="R39" i="13"/>
  <c r="R16" i="13"/>
  <c r="R20" i="13"/>
  <c r="Q6" i="13"/>
  <c r="P6" i="13" s="1"/>
  <c r="R27" i="13"/>
  <c r="G42" i="13"/>
  <c r="R36" i="13"/>
  <c r="R26" i="13"/>
  <c r="Q41" i="13"/>
  <c r="P41" i="13" s="1"/>
  <c r="H22" i="6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100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H20" i="6"/>
  <c r="I20" i="6"/>
  <c r="E11" i="4"/>
  <c r="E27" i="4" s="1"/>
  <c r="E29" i="4" s="1"/>
  <c r="E21" i="4"/>
  <c r="F27" i="4" l="1"/>
  <c r="B18" i="12"/>
  <c r="E26" i="4"/>
  <c r="H3" i="4"/>
  <c r="J25" i="4"/>
  <c r="J26" i="4" s="1"/>
  <c r="B20" i="13"/>
  <c r="L20" i="13" s="1"/>
  <c r="C34" i="13"/>
  <c r="B8" i="13"/>
  <c r="L29" i="13"/>
  <c r="P42" i="13"/>
  <c r="Q42" i="13"/>
  <c r="D41" i="13" s="1"/>
  <c r="R29" i="13"/>
  <c r="F42" i="13"/>
  <c r="P3" i="13"/>
  <c r="P10" i="13" s="1"/>
  <c r="Q10" i="13"/>
  <c r="R3" i="13"/>
  <c r="Q32" i="13"/>
  <c r="P25" i="13"/>
  <c r="P32" i="13" s="1"/>
  <c r="R25" i="13"/>
  <c r="R21" i="13"/>
  <c r="E39" i="13" s="1"/>
  <c r="R41" i="13"/>
  <c r="R42" i="13" s="1"/>
  <c r="E41" i="13" s="1"/>
  <c r="Q21" i="13"/>
  <c r="P14" i="13"/>
  <c r="P21" i="13" s="1"/>
  <c r="Q43" i="13"/>
  <c r="R6" i="13"/>
  <c r="B24" i="12" l="1"/>
  <c r="D24" i="12" s="1"/>
  <c r="B34" i="13"/>
  <c r="R32" i="13"/>
  <c r="E40" i="13" s="1"/>
  <c r="L8" i="13"/>
  <c r="L34" i="13" s="1"/>
  <c r="D39" i="13"/>
  <c r="Q22" i="13"/>
  <c r="S22" i="13" s="1"/>
  <c r="D40" i="13"/>
  <c r="Q33" i="13"/>
  <c r="R10" i="13"/>
  <c r="E38" i="13" s="1"/>
  <c r="Q11" i="13"/>
  <c r="D38" i="13"/>
  <c r="C41" i="13"/>
  <c r="B41" i="13" s="1"/>
  <c r="H5" i="11"/>
  <c r="H19" i="6"/>
  <c r="S42" i="8"/>
  <c r="S32" i="8"/>
  <c r="S10" i="8"/>
  <c r="S21" i="8"/>
  <c r="F38" i="8"/>
  <c r="B34" i="8"/>
  <c r="C34" i="8"/>
  <c r="D34" i="8"/>
  <c r="E34" i="8"/>
  <c r="F34" i="8"/>
  <c r="I23" i="8"/>
  <c r="I20" i="8"/>
  <c r="H26" i="8"/>
  <c r="H25" i="8"/>
  <c r="H11" i="8"/>
  <c r="E42" i="13" l="1"/>
  <c r="C40" i="13"/>
  <c r="B40" i="13" s="1"/>
  <c r="C38" i="13"/>
  <c r="B38" i="13" s="1"/>
  <c r="D42" i="13"/>
  <c r="C39" i="13"/>
  <c r="B39" i="13" s="1"/>
  <c r="O41" i="11"/>
  <c r="V47" i="11"/>
  <c r="U47" i="11"/>
  <c r="T47" i="11"/>
  <c r="O47" i="11"/>
  <c r="U41" i="11"/>
  <c r="O40" i="11"/>
  <c r="V40" i="11" s="1"/>
  <c r="A40" i="11"/>
  <c r="O39" i="11"/>
  <c r="U39" i="11" s="1"/>
  <c r="O38" i="11"/>
  <c r="A38" i="11"/>
  <c r="V37" i="11"/>
  <c r="O37" i="11"/>
  <c r="U37" i="11" s="1"/>
  <c r="V36" i="11"/>
  <c r="U36" i="11"/>
  <c r="T36" i="11"/>
  <c r="O36" i="11"/>
  <c r="J34" i="11"/>
  <c r="I34" i="11"/>
  <c r="M33" i="11"/>
  <c r="K33" i="11"/>
  <c r="F33" i="11"/>
  <c r="D33" i="11"/>
  <c r="E33" i="11" s="1"/>
  <c r="C33" i="11"/>
  <c r="L33" i="11" s="1"/>
  <c r="B33" i="11"/>
  <c r="M32" i="11"/>
  <c r="K32" i="11"/>
  <c r="F32" i="11"/>
  <c r="D32" i="11"/>
  <c r="C32" i="11"/>
  <c r="O31" i="11"/>
  <c r="U31" i="11" s="1"/>
  <c r="M31" i="11"/>
  <c r="K31" i="11"/>
  <c r="F31" i="11"/>
  <c r="E31" i="11" s="1"/>
  <c r="D31" i="11"/>
  <c r="C31" i="11" s="1"/>
  <c r="O30" i="11"/>
  <c r="V30" i="11" s="1"/>
  <c r="M30" i="11"/>
  <c r="K30" i="11"/>
  <c r="F30" i="11"/>
  <c r="D30" i="11" s="1"/>
  <c r="E30" i="11" s="1"/>
  <c r="O29" i="11"/>
  <c r="V29" i="11" s="1"/>
  <c r="M29" i="11"/>
  <c r="K29" i="11"/>
  <c r="F29" i="11"/>
  <c r="D29" i="11" s="1"/>
  <c r="O28" i="11"/>
  <c r="V28" i="11" s="1"/>
  <c r="M28" i="11"/>
  <c r="K28" i="11"/>
  <c r="F28" i="11"/>
  <c r="D28" i="11" s="1"/>
  <c r="C28" i="11" s="1"/>
  <c r="V27" i="11"/>
  <c r="U27" i="11"/>
  <c r="T27" i="11"/>
  <c r="O27" i="11"/>
  <c r="M27" i="11"/>
  <c r="K27" i="11"/>
  <c r="F27" i="11"/>
  <c r="D27" i="11" s="1"/>
  <c r="O26" i="11"/>
  <c r="V26" i="11" s="1"/>
  <c r="M26" i="11"/>
  <c r="K26" i="11"/>
  <c r="F26" i="11"/>
  <c r="D26" i="11"/>
  <c r="C26" i="11" s="1"/>
  <c r="O25" i="11"/>
  <c r="V25" i="11" s="1"/>
  <c r="M25" i="11"/>
  <c r="K25" i="11"/>
  <c r="F25" i="11"/>
  <c r="D25" i="11" s="1"/>
  <c r="E25" i="11" s="1"/>
  <c r="M24" i="11"/>
  <c r="K24" i="11"/>
  <c r="F24" i="11"/>
  <c r="D24" i="11" s="1"/>
  <c r="C24" i="11" s="1"/>
  <c r="M23" i="11"/>
  <c r="K23" i="11"/>
  <c r="F23" i="11"/>
  <c r="D23" i="11"/>
  <c r="E23" i="11" s="1"/>
  <c r="M22" i="11"/>
  <c r="K22" i="11"/>
  <c r="F22" i="11"/>
  <c r="M21" i="11"/>
  <c r="K21" i="11"/>
  <c r="F21" i="11"/>
  <c r="D21" i="11"/>
  <c r="E21" i="11" s="1"/>
  <c r="C21" i="11"/>
  <c r="B21" i="11"/>
  <c r="O20" i="11"/>
  <c r="T20" i="11" s="1"/>
  <c r="M20" i="11"/>
  <c r="K20" i="11"/>
  <c r="F20" i="11"/>
  <c r="D20" i="11" s="1"/>
  <c r="O19" i="11"/>
  <c r="V19" i="11" s="1"/>
  <c r="M19" i="11"/>
  <c r="K19" i="11"/>
  <c r="F19" i="11"/>
  <c r="D19" i="11"/>
  <c r="E19" i="11" s="1"/>
  <c r="C19" i="11"/>
  <c r="L19" i="11" s="1"/>
  <c r="B19" i="11"/>
  <c r="V18" i="11"/>
  <c r="U18" i="11"/>
  <c r="T18" i="11"/>
  <c r="O18" i="11"/>
  <c r="M18" i="11"/>
  <c r="K18" i="11"/>
  <c r="F18" i="11"/>
  <c r="D18" i="11"/>
  <c r="E18" i="11" s="1"/>
  <c r="C18" i="11"/>
  <c r="B18" i="11"/>
  <c r="O17" i="11"/>
  <c r="T17" i="11" s="1"/>
  <c r="M17" i="11"/>
  <c r="K17" i="11"/>
  <c r="F17" i="11"/>
  <c r="D17" i="11" s="1"/>
  <c r="E17" i="11" s="1"/>
  <c r="O16" i="11"/>
  <c r="V16" i="11" s="1"/>
  <c r="M16" i="11"/>
  <c r="K16" i="11"/>
  <c r="F16" i="11"/>
  <c r="D16" i="11"/>
  <c r="E16" i="11" s="1"/>
  <c r="V15" i="11"/>
  <c r="O15" i="11"/>
  <c r="U15" i="11" s="1"/>
  <c r="M15" i="11"/>
  <c r="K15" i="11"/>
  <c r="F15" i="11"/>
  <c r="D15" i="11" s="1"/>
  <c r="V14" i="11"/>
  <c r="O14" i="11"/>
  <c r="T14" i="11" s="1"/>
  <c r="M14" i="11"/>
  <c r="K14" i="11"/>
  <c r="F14" i="11"/>
  <c r="D14" i="11" s="1"/>
  <c r="M13" i="11"/>
  <c r="K13" i="11"/>
  <c r="F13" i="11"/>
  <c r="D13" i="11"/>
  <c r="E13" i="11" s="1"/>
  <c r="M12" i="11"/>
  <c r="K12" i="11"/>
  <c r="F12" i="11"/>
  <c r="M11" i="11"/>
  <c r="K11" i="11"/>
  <c r="F11" i="11"/>
  <c r="D11" i="11" s="1"/>
  <c r="E11" i="11"/>
  <c r="M10" i="11"/>
  <c r="K10" i="11"/>
  <c r="F10" i="11"/>
  <c r="V9" i="11"/>
  <c r="U9" i="11"/>
  <c r="T9" i="11"/>
  <c r="O9" i="11"/>
  <c r="M9" i="11"/>
  <c r="K9" i="11"/>
  <c r="F9" i="11"/>
  <c r="D9" i="11"/>
  <c r="E9" i="11" s="1"/>
  <c r="O8" i="11"/>
  <c r="T8" i="11" s="1"/>
  <c r="M8" i="11"/>
  <c r="K8" i="11"/>
  <c r="F8" i="11"/>
  <c r="D8" i="11"/>
  <c r="O7" i="11"/>
  <c r="V7" i="11" s="1"/>
  <c r="M7" i="11"/>
  <c r="K7" i="11"/>
  <c r="F7" i="11"/>
  <c r="O6" i="11"/>
  <c r="V6" i="11" s="1"/>
  <c r="M6" i="11"/>
  <c r="K6" i="11"/>
  <c r="F6" i="11"/>
  <c r="D6" i="11"/>
  <c r="E6" i="11" s="1"/>
  <c r="C6" i="11"/>
  <c r="B6" i="11"/>
  <c r="V5" i="11"/>
  <c r="O5" i="11"/>
  <c r="T5" i="11" s="1"/>
  <c r="M5" i="11"/>
  <c r="K5" i="11"/>
  <c r="F5" i="11"/>
  <c r="D5" i="11" s="1"/>
  <c r="O4" i="11"/>
  <c r="V4" i="11" s="1"/>
  <c r="M4" i="11"/>
  <c r="K4" i="11"/>
  <c r="F4" i="11"/>
  <c r="D4" i="11"/>
  <c r="C4" i="11" s="1"/>
  <c r="O3" i="11"/>
  <c r="M3" i="11"/>
  <c r="K3" i="11"/>
  <c r="F3" i="11"/>
  <c r="D3" i="11"/>
  <c r="C3" i="11" s="1"/>
  <c r="M2" i="11"/>
  <c r="L2" i="11"/>
  <c r="K2" i="11"/>
  <c r="F2" i="11"/>
  <c r="E2" i="11"/>
  <c r="D2" i="11"/>
  <c r="C2" i="11"/>
  <c r="B2" i="11"/>
  <c r="V47" i="10"/>
  <c r="U47" i="10"/>
  <c r="T47" i="10"/>
  <c r="O47" i="10"/>
  <c r="O41" i="10"/>
  <c r="T41" i="10" s="1"/>
  <c r="O40" i="10"/>
  <c r="V40" i="10" s="1"/>
  <c r="A40" i="10"/>
  <c r="O39" i="10"/>
  <c r="U39" i="10" s="1"/>
  <c r="O38" i="10"/>
  <c r="O37" i="10"/>
  <c r="U37" i="10" s="1"/>
  <c r="O36" i="10"/>
  <c r="U36" i="10" s="1"/>
  <c r="J34" i="10"/>
  <c r="I34" i="10"/>
  <c r="M33" i="10"/>
  <c r="K33" i="10"/>
  <c r="F33" i="10"/>
  <c r="D33" i="10"/>
  <c r="E33" i="10" s="1"/>
  <c r="C33" i="10"/>
  <c r="B33" i="10"/>
  <c r="M32" i="10"/>
  <c r="K32" i="10"/>
  <c r="F32" i="10"/>
  <c r="D32" i="10"/>
  <c r="E32" i="10" s="1"/>
  <c r="C32" i="10"/>
  <c r="O31" i="10"/>
  <c r="V31" i="10" s="1"/>
  <c r="M31" i="10"/>
  <c r="K31" i="10"/>
  <c r="F31" i="10"/>
  <c r="D31" i="10"/>
  <c r="B31" i="10" s="1"/>
  <c r="C31" i="10"/>
  <c r="L31" i="10" s="1"/>
  <c r="V30" i="10"/>
  <c r="U30" i="10"/>
  <c r="O30" i="10"/>
  <c r="T30" i="10" s="1"/>
  <c r="S30" i="10" s="1"/>
  <c r="Q30" i="10" s="1"/>
  <c r="M30" i="10"/>
  <c r="K30" i="10"/>
  <c r="F30" i="10"/>
  <c r="D30" i="10" s="1"/>
  <c r="V29" i="10"/>
  <c r="U29" i="10"/>
  <c r="T29" i="10"/>
  <c r="O29" i="10"/>
  <c r="M29" i="10"/>
  <c r="K29" i="10"/>
  <c r="F29" i="10"/>
  <c r="D29" i="10"/>
  <c r="C29" i="10"/>
  <c r="O28" i="10"/>
  <c r="V28" i="10" s="1"/>
  <c r="M28" i="10"/>
  <c r="K28" i="10"/>
  <c r="F28" i="10"/>
  <c r="D28" i="10" s="1"/>
  <c r="O27" i="10"/>
  <c r="T27" i="10" s="1"/>
  <c r="M27" i="10"/>
  <c r="K27" i="10"/>
  <c r="F27" i="10"/>
  <c r="D27" i="10" s="1"/>
  <c r="O26" i="10"/>
  <c r="T26" i="10" s="1"/>
  <c r="M26" i="10"/>
  <c r="K26" i="10"/>
  <c r="F26" i="10"/>
  <c r="D26" i="10"/>
  <c r="C26" i="10"/>
  <c r="O25" i="10"/>
  <c r="T25" i="10" s="1"/>
  <c r="M25" i="10"/>
  <c r="L25" i="10"/>
  <c r="K25" i="10"/>
  <c r="F25" i="10"/>
  <c r="D25" i="10"/>
  <c r="C25" i="10"/>
  <c r="B25" i="10"/>
  <c r="M24" i="10"/>
  <c r="K24" i="10"/>
  <c r="F24" i="10"/>
  <c r="D24" i="10"/>
  <c r="E24" i="10" s="1"/>
  <c r="C24" i="10"/>
  <c r="M23" i="10"/>
  <c r="K23" i="10"/>
  <c r="F23" i="10"/>
  <c r="D23" i="10"/>
  <c r="E23" i="10" s="1"/>
  <c r="C23" i="10"/>
  <c r="B23" i="10"/>
  <c r="M22" i="10"/>
  <c r="K22" i="10"/>
  <c r="F22" i="10"/>
  <c r="D22" i="10"/>
  <c r="E22" i="10" s="1"/>
  <c r="C22" i="10"/>
  <c r="B22" i="10"/>
  <c r="M21" i="10"/>
  <c r="K21" i="10"/>
  <c r="F21" i="10"/>
  <c r="D21" i="10"/>
  <c r="E21" i="10" s="1"/>
  <c r="C21" i="10"/>
  <c r="B21" i="10"/>
  <c r="O20" i="10"/>
  <c r="T20" i="10" s="1"/>
  <c r="M20" i="10"/>
  <c r="K20" i="10"/>
  <c r="F20" i="10"/>
  <c r="D20" i="10"/>
  <c r="O19" i="10"/>
  <c r="M19" i="10"/>
  <c r="L19" i="10"/>
  <c r="K19" i="10"/>
  <c r="F19" i="10"/>
  <c r="D19" i="10"/>
  <c r="E19" i="10" s="1"/>
  <c r="C19" i="10"/>
  <c r="B19" i="10"/>
  <c r="O18" i="10"/>
  <c r="V18" i="10" s="1"/>
  <c r="M18" i="10"/>
  <c r="K18" i="10"/>
  <c r="F18" i="10"/>
  <c r="D18" i="10"/>
  <c r="E18" i="10" s="1"/>
  <c r="C18" i="10"/>
  <c r="B18" i="10"/>
  <c r="O17" i="10"/>
  <c r="T17" i="10" s="1"/>
  <c r="M17" i="10"/>
  <c r="K17" i="10"/>
  <c r="F17" i="10"/>
  <c r="D17" i="10"/>
  <c r="E17" i="10" s="1"/>
  <c r="O16" i="10"/>
  <c r="M16" i="10"/>
  <c r="K16" i="10"/>
  <c r="F16" i="10"/>
  <c r="D16" i="10"/>
  <c r="E16" i="10" s="1"/>
  <c r="C16" i="10"/>
  <c r="V15" i="10"/>
  <c r="U15" i="10"/>
  <c r="T15" i="10"/>
  <c r="S15" i="10" s="1"/>
  <c r="Q15" i="10" s="1"/>
  <c r="P15" i="10" s="1"/>
  <c r="O15" i="10"/>
  <c r="M15" i="10"/>
  <c r="K15" i="10"/>
  <c r="F15" i="10"/>
  <c r="D15" i="10"/>
  <c r="E15" i="10" s="1"/>
  <c r="C15" i="10"/>
  <c r="B15" i="10"/>
  <c r="O14" i="10"/>
  <c r="T14" i="10" s="1"/>
  <c r="M14" i="10"/>
  <c r="K14" i="10"/>
  <c r="F14" i="10"/>
  <c r="M13" i="10"/>
  <c r="K13" i="10"/>
  <c r="F13" i="10"/>
  <c r="D13" i="10"/>
  <c r="E13" i="10" s="1"/>
  <c r="C13" i="10"/>
  <c r="B13" i="10"/>
  <c r="M12" i="10"/>
  <c r="K12" i="10"/>
  <c r="F12" i="10"/>
  <c r="D12" i="10" s="1"/>
  <c r="M11" i="10"/>
  <c r="K11" i="10"/>
  <c r="F11" i="10"/>
  <c r="D11" i="10" s="1"/>
  <c r="E11" i="10"/>
  <c r="M10" i="10"/>
  <c r="K10" i="10"/>
  <c r="F10" i="10"/>
  <c r="D10" i="10" s="1"/>
  <c r="O9" i="10"/>
  <c r="V9" i="10" s="1"/>
  <c r="M9" i="10"/>
  <c r="K9" i="10"/>
  <c r="F9" i="10"/>
  <c r="D9" i="10"/>
  <c r="E9" i="10" s="1"/>
  <c r="C9" i="10"/>
  <c r="B9" i="10"/>
  <c r="O8" i="10"/>
  <c r="T8" i="10" s="1"/>
  <c r="M8" i="10"/>
  <c r="K8" i="10"/>
  <c r="F8" i="10"/>
  <c r="D8" i="10"/>
  <c r="O7" i="10"/>
  <c r="M7" i="10"/>
  <c r="K7" i="10"/>
  <c r="F7" i="10"/>
  <c r="D7" i="10"/>
  <c r="E7" i="10" s="1"/>
  <c r="C7" i="10"/>
  <c r="L7" i="10" s="1"/>
  <c r="B7" i="10"/>
  <c r="O6" i="10"/>
  <c r="V6" i="10" s="1"/>
  <c r="M6" i="10"/>
  <c r="K6" i="10"/>
  <c r="F6" i="10"/>
  <c r="D6" i="10"/>
  <c r="E6" i="10" s="1"/>
  <c r="C6" i="10"/>
  <c r="O5" i="10"/>
  <c r="T5" i="10" s="1"/>
  <c r="M5" i="10"/>
  <c r="K5" i="10"/>
  <c r="F5" i="10"/>
  <c r="D5" i="10"/>
  <c r="O4" i="10"/>
  <c r="M4" i="10"/>
  <c r="K4" i="10"/>
  <c r="F4" i="10"/>
  <c r="D4" i="10"/>
  <c r="E4" i="10" s="1"/>
  <c r="C4" i="10"/>
  <c r="V3" i="10"/>
  <c r="U3" i="10"/>
  <c r="O3" i="10"/>
  <c r="A42" i="10" s="1"/>
  <c r="M3" i="10"/>
  <c r="K3" i="10"/>
  <c r="F3" i="10"/>
  <c r="D3" i="10" s="1"/>
  <c r="M2" i="10"/>
  <c r="L2" i="10"/>
  <c r="K2" i="10"/>
  <c r="F2" i="10"/>
  <c r="D2" i="10"/>
  <c r="E2" i="10" s="1"/>
  <c r="C2" i="10"/>
  <c r="B2" i="10"/>
  <c r="V47" i="9"/>
  <c r="U47" i="9"/>
  <c r="T47" i="9"/>
  <c r="O47" i="9"/>
  <c r="O41" i="9"/>
  <c r="O40" i="9"/>
  <c r="V40" i="9" s="1"/>
  <c r="V39" i="9"/>
  <c r="O39" i="9"/>
  <c r="U39" i="9" s="1"/>
  <c r="O38" i="9"/>
  <c r="O37" i="9"/>
  <c r="V37" i="9" s="1"/>
  <c r="O36" i="9"/>
  <c r="V36" i="9" s="1"/>
  <c r="J34" i="9"/>
  <c r="I34" i="9"/>
  <c r="M33" i="9"/>
  <c r="K33" i="9"/>
  <c r="F33" i="9"/>
  <c r="D33" i="9"/>
  <c r="E33" i="9" s="1"/>
  <c r="M32" i="9"/>
  <c r="K32" i="9"/>
  <c r="F32" i="9"/>
  <c r="D32" i="9" s="1"/>
  <c r="C32" i="9" s="1"/>
  <c r="O31" i="9"/>
  <c r="M31" i="9"/>
  <c r="K31" i="9"/>
  <c r="F31" i="9"/>
  <c r="D31" i="9" s="1"/>
  <c r="E31" i="9" s="1"/>
  <c r="O30" i="9"/>
  <c r="T30" i="9" s="1"/>
  <c r="M30" i="9"/>
  <c r="K30" i="9"/>
  <c r="F30" i="9"/>
  <c r="D30" i="9"/>
  <c r="E30" i="9" s="1"/>
  <c r="C30" i="9"/>
  <c r="B30" i="9"/>
  <c r="O29" i="9"/>
  <c r="T29" i="9" s="1"/>
  <c r="M29" i="9"/>
  <c r="K29" i="9"/>
  <c r="F29" i="9"/>
  <c r="D29" i="9" s="1"/>
  <c r="O28" i="9"/>
  <c r="M28" i="9"/>
  <c r="K28" i="9"/>
  <c r="F28" i="9"/>
  <c r="D28" i="9"/>
  <c r="E28" i="9" s="1"/>
  <c r="O27" i="9"/>
  <c r="V27" i="9" s="1"/>
  <c r="M27" i="9"/>
  <c r="K27" i="9"/>
  <c r="F27" i="9"/>
  <c r="D27" i="9" s="1"/>
  <c r="E27" i="9" s="1"/>
  <c r="O26" i="9"/>
  <c r="T26" i="9" s="1"/>
  <c r="M26" i="9"/>
  <c r="K26" i="9"/>
  <c r="F26" i="9"/>
  <c r="D26" i="9" s="1"/>
  <c r="E26" i="9" s="1"/>
  <c r="O25" i="9"/>
  <c r="M25" i="9"/>
  <c r="K25" i="9"/>
  <c r="F25" i="9"/>
  <c r="D25" i="9" s="1"/>
  <c r="E25" i="9" s="1"/>
  <c r="M24" i="9"/>
  <c r="K24" i="9"/>
  <c r="F24" i="9"/>
  <c r="D24" i="9" s="1"/>
  <c r="C24" i="9" s="1"/>
  <c r="M23" i="9"/>
  <c r="K23" i="9"/>
  <c r="F23" i="9"/>
  <c r="D23" i="9" s="1"/>
  <c r="M22" i="9"/>
  <c r="K22" i="9"/>
  <c r="F22" i="9"/>
  <c r="D22" i="9"/>
  <c r="C22" i="9"/>
  <c r="M21" i="9"/>
  <c r="K21" i="9"/>
  <c r="F21" i="9"/>
  <c r="D21" i="9" s="1"/>
  <c r="O20" i="9"/>
  <c r="T20" i="9" s="1"/>
  <c r="M20" i="9"/>
  <c r="K20" i="9"/>
  <c r="F20" i="9"/>
  <c r="O19" i="9"/>
  <c r="M19" i="9"/>
  <c r="K19" i="9"/>
  <c r="F19" i="9"/>
  <c r="D19" i="9" s="1"/>
  <c r="O18" i="9"/>
  <c r="V18" i="9" s="1"/>
  <c r="M18" i="9"/>
  <c r="K18" i="9"/>
  <c r="F18" i="9"/>
  <c r="D18" i="9" s="1"/>
  <c r="O17" i="9"/>
  <c r="T17" i="9" s="1"/>
  <c r="M17" i="9"/>
  <c r="K17" i="9"/>
  <c r="F17" i="9"/>
  <c r="D17" i="9"/>
  <c r="E17" i="9" s="1"/>
  <c r="O16" i="9"/>
  <c r="M16" i="9"/>
  <c r="K16" i="9"/>
  <c r="F16" i="9"/>
  <c r="D16" i="9" s="1"/>
  <c r="O15" i="9"/>
  <c r="V15" i="9" s="1"/>
  <c r="M15" i="9"/>
  <c r="K15" i="9"/>
  <c r="F15" i="9"/>
  <c r="D15" i="9" s="1"/>
  <c r="O14" i="9"/>
  <c r="T14" i="9" s="1"/>
  <c r="M14" i="9"/>
  <c r="K14" i="9"/>
  <c r="F14" i="9"/>
  <c r="D14" i="9" s="1"/>
  <c r="E14" i="9" s="1"/>
  <c r="M13" i="9"/>
  <c r="K13" i="9"/>
  <c r="F13" i="9"/>
  <c r="D13" i="9" s="1"/>
  <c r="E13" i="9" s="1"/>
  <c r="M12" i="9"/>
  <c r="K12" i="9"/>
  <c r="F12" i="9"/>
  <c r="D12" i="9" s="1"/>
  <c r="M11" i="9"/>
  <c r="K11" i="9"/>
  <c r="F11" i="9"/>
  <c r="D11" i="9" s="1"/>
  <c r="M10" i="9"/>
  <c r="K10" i="9"/>
  <c r="F10" i="9"/>
  <c r="D10" i="9" s="1"/>
  <c r="V9" i="9"/>
  <c r="U9" i="9"/>
  <c r="T9" i="9"/>
  <c r="O9" i="9"/>
  <c r="M9" i="9"/>
  <c r="K9" i="9"/>
  <c r="F9" i="9"/>
  <c r="D9" i="9" s="1"/>
  <c r="O8" i="9"/>
  <c r="T8" i="9" s="1"/>
  <c r="M8" i="9"/>
  <c r="K8" i="9"/>
  <c r="F8" i="9"/>
  <c r="D8" i="9" s="1"/>
  <c r="O7" i="9"/>
  <c r="M7" i="9"/>
  <c r="K7" i="9"/>
  <c r="F7" i="9"/>
  <c r="D7" i="9" s="1"/>
  <c r="O6" i="9"/>
  <c r="V6" i="9" s="1"/>
  <c r="M6" i="9"/>
  <c r="K6" i="9"/>
  <c r="F6" i="9"/>
  <c r="D6" i="9" s="1"/>
  <c r="O5" i="9"/>
  <c r="T5" i="9" s="1"/>
  <c r="M5" i="9"/>
  <c r="K5" i="9"/>
  <c r="F5" i="9"/>
  <c r="D5" i="9" s="1"/>
  <c r="O4" i="9"/>
  <c r="M4" i="9"/>
  <c r="K4" i="9"/>
  <c r="F4" i="9"/>
  <c r="D4" i="9" s="1"/>
  <c r="V3" i="9"/>
  <c r="U3" i="9"/>
  <c r="T3" i="9"/>
  <c r="O3" i="9"/>
  <c r="A38" i="9" s="1"/>
  <c r="M3" i="9"/>
  <c r="K3" i="9"/>
  <c r="F3" i="9"/>
  <c r="D3" i="9" s="1"/>
  <c r="M2" i="9"/>
  <c r="K2" i="9"/>
  <c r="F2" i="9"/>
  <c r="D2" i="9" s="1"/>
  <c r="F33" i="8"/>
  <c r="D33" i="8" s="1"/>
  <c r="K33" i="8"/>
  <c r="M33" i="8"/>
  <c r="C42" i="13" l="1"/>
  <c r="B42" i="13" s="1"/>
  <c r="C23" i="11"/>
  <c r="C16" i="11"/>
  <c r="E15" i="11"/>
  <c r="C15" i="11"/>
  <c r="C13" i="11"/>
  <c r="L6" i="11"/>
  <c r="C30" i="11"/>
  <c r="C29" i="11"/>
  <c r="E28" i="11"/>
  <c r="E27" i="11"/>
  <c r="C27" i="11"/>
  <c r="B27" i="11" s="1"/>
  <c r="B26" i="11"/>
  <c r="B23" i="11"/>
  <c r="L23" i="11" s="1"/>
  <c r="L21" i="11"/>
  <c r="L18" i="11"/>
  <c r="B15" i="11"/>
  <c r="L15" i="11"/>
  <c r="B13" i="11"/>
  <c r="L13" i="11" s="1"/>
  <c r="D12" i="11"/>
  <c r="D10" i="11"/>
  <c r="S47" i="11"/>
  <c r="C9" i="11"/>
  <c r="S36" i="11"/>
  <c r="Q36" i="11" s="1"/>
  <c r="P36" i="11" s="1"/>
  <c r="D7" i="11"/>
  <c r="S27" i="11"/>
  <c r="Q27" i="11" s="1"/>
  <c r="R27" i="11" s="1"/>
  <c r="S9" i="11"/>
  <c r="Q9" i="11" s="1"/>
  <c r="P9" i="11" s="1"/>
  <c r="E4" i="11"/>
  <c r="B4" i="11"/>
  <c r="B3" i="11"/>
  <c r="S18" i="11"/>
  <c r="Q18" i="11" s="1"/>
  <c r="P18" i="11" s="1"/>
  <c r="L3" i="11"/>
  <c r="B22" i="9"/>
  <c r="L22" i="9" s="1"/>
  <c r="E3" i="9"/>
  <c r="C3" i="9"/>
  <c r="B3" i="9"/>
  <c r="L3" i="9" s="1"/>
  <c r="E9" i="9"/>
  <c r="C9" i="9"/>
  <c r="B9" i="9"/>
  <c r="C3" i="10"/>
  <c r="B3" i="10"/>
  <c r="C28" i="10"/>
  <c r="B28" i="10"/>
  <c r="E12" i="10"/>
  <c r="C12" i="10"/>
  <c r="B12" i="10"/>
  <c r="E30" i="10"/>
  <c r="C30" i="10"/>
  <c r="E10" i="10"/>
  <c r="C10" i="10"/>
  <c r="E27" i="10"/>
  <c r="C27" i="10"/>
  <c r="K34" i="10"/>
  <c r="B4" i="10"/>
  <c r="B6" i="10"/>
  <c r="S29" i="10"/>
  <c r="L23" i="10"/>
  <c r="E25" i="10"/>
  <c r="L18" i="10"/>
  <c r="L22" i="10"/>
  <c r="E28" i="10"/>
  <c r="E31" i="10"/>
  <c r="B16" i="10"/>
  <c r="L16" i="10" s="1"/>
  <c r="E23" i="9"/>
  <c r="C23" i="9"/>
  <c r="B23" i="9"/>
  <c r="E21" i="9"/>
  <c r="C21" i="9"/>
  <c r="B21" i="9" s="1"/>
  <c r="C33" i="9"/>
  <c r="B33" i="9" s="1"/>
  <c r="L33" i="9" s="1"/>
  <c r="L30" i="9"/>
  <c r="C27" i="9"/>
  <c r="B27" i="9" s="1"/>
  <c r="L27" i="9" s="1"/>
  <c r="C26" i="9"/>
  <c r="B26" i="9" s="1"/>
  <c r="L26" i="9" s="1"/>
  <c r="E22" i="9"/>
  <c r="E18" i="9"/>
  <c r="C18" i="9"/>
  <c r="B18" i="9"/>
  <c r="E15" i="9"/>
  <c r="C15" i="9"/>
  <c r="B15" i="9" s="1"/>
  <c r="C13" i="9"/>
  <c r="B13" i="9" s="1"/>
  <c r="E6" i="9"/>
  <c r="C6" i="9"/>
  <c r="B6" i="9" s="1"/>
  <c r="L6" i="9" s="1"/>
  <c r="S3" i="9"/>
  <c r="Q3" i="9" s="1"/>
  <c r="P3" i="9" s="1"/>
  <c r="S9" i="9"/>
  <c r="Q9" i="9" s="1"/>
  <c r="P9" i="9" s="1"/>
  <c r="F34" i="9"/>
  <c r="U8" i="11"/>
  <c r="S8" i="11" s="1"/>
  <c r="Q8" i="11" s="1"/>
  <c r="P8" i="11" s="1"/>
  <c r="T26" i="11"/>
  <c r="T30" i="11"/>
  <c r="V8" i="11"/>
  <c r="U17" i="11"/>
  <c r="S17" i="11" s="1"/>
  <c r="U26" i="11"/>
  <c r="U30" i="11"/>
  <c r="V17" i="11"/>
  <c r="T29" i="11"/>
  <c r="T40" i="11"/>
  <c r="U20" i="11"/>
  <c r="S20" i="11" s="1"/>
  <c r="Q20" i="11" s="1"/>
  <c r="P20" i="11" s="1"/>
  <c r="U29" i="11"/>
  <c r="T37" i="11"/>
  <c r="S37" i="11" s="1"/>
  <c r="U40" i="11"/>
  <c r="V20" i="11"/>
  <c r="A42" i="11"/>
  <c r="U6" i="11"/>
  <c r="T15" i="11"/>
  <c r="S15" i="11" s="1"/>
  <c r="Q15" i="11" s="1"/>
  <c r="P15" i="11" s="1"/>
  <c r="T6" i="11"/>
  <c r="U5" i="11"/>
  <c r="S5" i="11" s="1"/>
  <c r="Q5" i="11" s="1"/>
  <c r="P5" i="11" s="1"/>
  <c r="U14" i="11"/>
  <c r="V39" i="11"/>
  <c r="T3" i="11"/>
  <c r="U3" i="11"/>
  <c r="V3" i="11"/>
  <c r="B32" i="11"/>
  <c r="T38" i="11"/>
  <c r="V38" i="11"/>
  <c r="U38" i="11"/>
  <c r="C5" i="11"/>
  <c r="B5" i="11" s="1"/>
  <c r="M34" i="11"/>
  <c r="E5" i="11"/>
  <c r="L26" i="11"/>
  <c r="C11" i="11"/>
  <c r="B11" i="11" s="1"/>
  <c r="F34" i="11"/>
  <c r="L32" i="11"/>
  <c r="C14" i="11"/>
  <c r="B14" i="11"/>
  <c r="C8" i="11"/>
  <c r="B8" i="11"/>
  <c r="E14" i="11"/>
  <c r="E8" i="11"/>
  <c r="K34" i="11"/>
  <c r="C17" i="11"/>
  <c r="B17" i="11"/>
  <c r="C20" i="11"/>
  <c r="B20" i="11"/>
  <c r="E20" i="11"/>
  <c r="B24" i="11"/>
  <c r="L24" i="11" s="1"/>
  <c r="E3" i="11"/>
  <c r="T4" i="11"/>
  <c r="T7" i="11"/>
  <c r="T16" i="11"/>
  <c r="T19" i="11"/>
  <c r="D22" i="11"/>
  <c r="E22" i="11" s="1"/>
  <c r="B25" i="11"/>
  <c r="B28" i="11"/>
  <c r="L28" i="11" s="1"/>
  <c r="B31" i="11"/>
  <c r="L31" i="11" s="1"/>
  <c r="A41" i="11"/>
  <c r="U4" i="11"/>
  <c r="U7" i="11"/>
  <c r="U16" i="11"/>
  <c r="U19" i="11"/>
  <c r="C25" i="11"/>
  <c r="T25" i="11"/>
  <c r="T28" i="11"/>
  <c r="T31" i="11"/>
  <c r="S31" i="11" s="1"/>
  <c r="A39" i="11"/>
  <c r="T41" i="11"/>
  <c r="S41" i="11" s="1"/>
  <c r="E29" i="11"/>
  <c r="U25" i="11"/>
  <c r="U28" i="11"/>
  <c r="V31" i="11"/>
  <c r="V32" i="11" s="1"/>
  <c r="I40" i="11" s="1"/>
  <c r="T39" i="11"/>
  <c r="S39" i="11" s="1"/>
  <c r="V41" i="11"/>
  <c r="E24" i="11"/>
  <c r="E26" i="11"/>
  <c r="E32" i="11"/>
  <c r="S14" i="10"/>
  <c r="V14" i="10"/>
  <c r="T6" i="10"/>
  <c r="U6" i="10"/>
  <c r="U17" i="10"/>
  <c r="S17" i="10" s="1"/>
  <c r="V36" i="10"/>
  <c r="V5" i="10"/>
  <c r="U27" i="10"/>
  <c r="S27" i="10" s="1"/>
  <c r="U26" i="10"/>
  <c r="S26" i="10" s="1"/>
  <c r="Q26" i="10" s="1"/>
  <c r="P26" i="10" s="1"/>
  <c r="V27" i="10"/>
  <c r="U14" i="10"/>
  <c r="T18" i="10"/>
  <c r="U18" i="10"/>
  <c r="T36" i="10"/>
  <c r="S36" i="10" s="1"/>
  <c r="Q36" i="10" s="1"/>
  <c r="T40" i="10"/>
  <c r="V17" i="10"/>
  <c r="U20" i="10"/>
  <c r="S20" i="10" s="1"/>
  <c r="U40" i="10"/>
  <c r="V20" i="10"/>
  <c r="T37" i="10"/>
  <c r="S37" i="10" s="1"/>
  <c r="Q37" i="10" s="1"/>
  <c r="P37" i="10" s="1"/>
  <c r="U8" i="10"/>
  <c r="S8" i="10" s="1"/>
  <c r="Q8" i="10" s="1"/>
  <c r="P8" i="10" s="1"/>
  <c r="V8" i="10"/>
  <c r="V37" i="10"/>
  <c r="V26" i="10"/>
  <c r="U5" i="10"/>
  <c r="T9" i="10"/>
  <c r="U9" i="10"/>
  <c r="V39" i="10"/>
  <c r="P36" i="10"/>
  <c r="R30" i="10"/>
  <c r="P30" i="10"/>
  <c r="T3" i="10"/>
  <c r="S3" i="10" s="1"/>
  <c r="Q3" i="10" s="1"/>
  <c r="R3" i="10" s="1"/>
  <c r="A38" i="10"/>
  <c r="T4" i="10"/>
  <c r="U4" i="10"/>
  <c r="V4" i="10"/>
  <c r="V38" i="10"/>
  <c r="T38" i="10"/>
  <c r="U38" i="10"/>
  <c r="L33" i="10"/>
  <c r="C20" i="10"/>
  <c r="B20" i="10" s="1"/>
  <c r="L9" i="10"/>
  <c r="E20" i="10"/>
  <c r="C8" i="10"/>
  <c r="B8" i="10"/>
  <c r="S47" i="10"/>
  <c r="R15" i="10"/>
  <c r="U16" i="10"/>
  <c r="V16" i="10"/>
  <c r="T16" i="10"/>
  <c r="B29" i="10"/>
  <c r="L29" i="10" s="1"/>
  <c r="L6" i="10"/>
  <c r="Q14" i="10"/>
  <c r="R14" i="10"/>
  <c r="C17" i="10"/>
  <c r="B17" i="10"/>
  <c r="E29" i="10"/>
  <c r="L21" i="10"/>
  <c r="B26" i="10"/>
  <c r="L26" i="10" s="1"/>
  <c r="M34" i="10"/>
  <c r="U19" i="10"/>
  <c r="V19" i="10"/>
  <c r="T19" i="10"/>
  <c r="S19" i="10" s="1"/>
  <c r="Q29" i="10"/>
  <c r="P29" i="10" s="1"/>
  <c r="L3" i="10"/>
  <c r="L4" i="10" s="1"/>
  <c r="H34" i="10"/>
  <c r="U7" i="10"/>
  <c r="T7" i="10"/>
  <c r="S7" i="10" s="1"/>
  <c r="V7" i="10"/>
  <c r="D14" i="10"/>
  <c r="G34" i="10" s="1"/>
  <c r="B32" i="10"/>
  <c r="L32" i="10" s="1"/>
  <c r="E8" i="10"/>
  <c r="E34" i="10"/>
  <c r="B24" i="10"/>
  <c r="L24" i="10" s="1"/>
  <c r="L13" i="10"/>
  <c r="C5" i="10"/>
  <c r="B5" i="10"/>
  <c r="C11" i="10"/>
  <c r="B11" i="10"/>
  <c r="E5" i="10"/>
  <c r="L15" i="10"/>
  <c r="E26" i="10"/>
  <c r="F34" i="10"/>
  <c r="S5" i="10"/>
  <c r="T31" i="10"/>
  <c r="U25" i="10"/>
  <c r="S25" i="10" s="1"/>
  <c r="U28" i="10"/>
  <c r="U31" i="10"/>
  <c r="U41" i="10"/>
  <c r="E3" i="10"/>
  <c r="A41" i="10"/>
  <c r="T28" i="10"/>
  <c r="A39" i="10"/>
  <c r="V25" i="10"/>
  <c r="V32" i="10" s="1"/>
  <c r="I40" i="10" s="1"/>
  <c r="T39" i="10"/>
  <c r="S39" i="10" s="1"/>
  <c r="V41" i="10"/>
  <c r="U8" i="9"/>
  <c r="S8" i="9" s="1"/>
  <c r="Q8" i="9" s="1"/>
  <c r="P8" i="9" s="1"/>
  <c r="V8" i="9"/>
  <c r="T36" i="9"/>
  <c r="T27" i="9"/>
  <c r="U30" i="9"/>
  <c r="S30" i="9" s="1"/>
  <c r="U36" i="9"/>
  <c r="T40" i="9"/>
  <c r="U6" i="9"/>
  <c r="U27" i="9"/>
  <c r="U29" i="9"/>
  <c r="S29" i="9" s="1"/>
  <c r="Q29" i="9" s="1"/>
  <c r="P29" i="9" s="1"/>
  <c r="V30" i="9"/>
  <c r="U40" i="9"/>
  <c r="V5" i="9"/>
  <c r="U20" i="9"/>
  <c r="S20" i="9" s="1"/>
  <c r="Q20" i="9" s="1"/>
  <c r="P20" i="9" s="1"/>
  <c r="V29" i="9"/>
  <c r="T18" i="9"/>
  <c r="V20" i="9"/>
  <c r="U26" i="9"/>
  <c r="S26" i="9" s="1"/>
  <c r="T37" i="9"/>
  <c r="U18" i="9"/>
  <c r="V26" i="9"/>
  <c r="U37" i="9"/>
  <c r="T15" i="9"/>
  <c r="U17" i="9"/>
  <c r="S17" i="9" s="1"/>
  <c r="Q17" i="9" s="1"/>
  <c r="P17" i="9" s="1"/>
  <c r="U14" i="9"/>
  <c r="S14" i="9" s="1"/>
  <c r="Q14" i="9" s="1"/>
  <c r="U15" i="9"/>
  <c r="V17" i="9"/>
  <c r="T6" i="9"/>
  <c r="U5" i="9"/>
  <c r="S5" i="9" s="1"/>
  <c r="Q5" i="9" s="1"/>
  <c r="P5" i="9" s="1"/>
  <c r="V14" i="9"/>
  <c r="C8" i="9"/>
  <c r="B8" i="9"/>
  <c r="E8" i="9"/>
  <c r="C29" i="9"/>
  <c r="B29" i="9" s="1"/>
  <c r="E29" i="9"/>
  <c r="V25" i="9"/>
  <c r="U25" i="9"/>
  <c r="T25" i="9"/>
  <c r="C5" i="9"/>
  <c r="V41" i="9"/>
  <c r="U41" i="9"/>
  <c r="A41" i="9"/>
  <c r="T41" i="9"/>
  <c r="C14" i="9"/>
  <c r="B14" i="9" s="1"/>
  <c r="V4" i="9"/>
  <c r="U4" i="9"/>
  <c r="T4" i="9"/>
  <c r="V31" i="9"/>
  <c r="U31" i="9"/>
  <c r="T31" i="9"/>
  <c r="E12" i="9"/>
  <c r="C12" i="9"/>
  <c r="B12" i="9"/>
  <c r="B24" i="9"/>
  <c r="L24" i="9" s="1"/>
  <c r="B32" i="9"/>
  <c r="L32" i="9" s="1"/>
  <c r="E2" i="9"/>
  <c r="C2" i="9"/>
  <c r="B2" i="9" s="1"/>
  <c r="E24" i="9"/>
  <c r="E32" i="9"/>
  <c r="K34" i="9"/>
  <c r="D20" i="9"/>
  <c r="Q47" i="9" s="1"/>
  <c r="Q48" i="9" s="1"/>
  <c r="E34" i="9"/>
  <c r="U38" i="9"/>
  <c r="T38" i="9"/>
  <c r="V38" i="9"/>
  <c r="C19" i="9"/>
  <c r="E19" i="9"/>
  <c r="B19" i="9"/>
  <c r="V16" i="9"/>
  <c r="U16" i="9"/>
  <c r="T16" i="9"/>
  <c r="A42" i="9"/>
  <c r="E5" i="9"/>
  <c r="M34" i="9"/>
  <c r="V28" i="9"/>
  <c r="U28" i="9"/>
  <c r="T28" i="9"/>
  <c r="C11" i="9"/>
  <c r="B11" i="9" s="1"/>
  <c r="L9" i="9"/>
  <c r="V7" i="9"/>
  <c r="U7" i="9"/>
  <c r="T7" i="9"/>
  <c r="V19" i="9"/>
  <c r="U19" i="9"/>
  <c r="T19" i="9"/>
  <c r="S47" i="9"/>
  <c r="E7" i="9"/>
  <c r="C7" i="9"/>
  <c r="B7" i="9"/>
  <c r="C10" i="9"/>
  <c r="E10" i="9"/>
  <c r="B10" i="9"/>
  <c r="C17" i="9"/>
  <c r="B17" i="9" s="1"/>
  <c r="E4" i="9"/>
  <c r="C4" i="9"/>
  <c r="B4" i="9" s="1"/>
  <c r="E11" i="9"/>
  <c r="E16" i="9"/>
  <c r="C16" i="9"/>
  <c r="B16" i="9" s="1"/>
  <c r="A40" i="9"/>
  <c r="C25" i="9"/>
  <c r="C28" i="9"/>
  <c r="C31" i="9"/>
  <c r="A39" i="9"/>
  <c r="T39" i="9"/>
  <c r="S39" i="9" s="1"/>
  <c r="C33" i="8"/>
  <c r="E33" i="8"/>
  <c r="T47" i="8"/>
  <c r="O47" i="8"/>
  <c r="O41" i="8"/>
  <c r="V41" i="8" s="1"/>
  <c r="O40" i="8"/>
  <c r="U40" i="8" s="1"/>
  <c r="O39" i="8"/>
  <c r="V39" i="8" s="1"/>
  <c r="O38" i="8"/>
  <c r="O37" i="8"/>
  <c r="U37" i="8" s="1"/>
  <c r="O36" i="8"/>
  <c r="U36" i="8" s="1"/>
  <c r="M32" i="8"/>
  <c r="K32" i="8"/>
  <c r="F32" i="8"/>
  <c r="D32" i="8" s="1"/>
  <c r="E32" i="8" s="1"/>
  <c r="O31" i="8"/>
  <c r="T31" i="8" s="1"/>
  <c r="M31" i="8"/>
  <c r="K31" i="8"/>
  <c r="O30" i="8"/>
  <c r="K30" i="8"/>
  <c r="M30" i="8"/>
  <c r="F30" i="8"/>
  <c r="D30" i="8" s="1"/>
  <c r="O29" i="8"/>
  <c r="T29" i="8" s="1"/>
  <c r="K29" i="8"/>
  <c r="M29" i="8"/>
  <c r="F29" i="8"/>
  <c r="O28" i="8"/>
  <c r="U28" i="8" s="1"/>
  <c r="K28" i="8"/>
  <c r="F28" i="8"/>
  <c r="D28" i="8"/>
  <c r="C28" i="8" s="1"/>
  <c r="O27" i="8"/>
  <c r="T27" i="8" s="1"/>
  <c r="M27" i="8"/>
  <c r="F27" i="8"/>
  <c r="O26" i="8"/>
  <c r="U26" i="8" s="1"/>
  <c r="K26" i="8"/>
  <c r="M26" i="8"/>
  <c r="F26" i="8"/>
  <c r="D26" i="8"/>
  <c r="C26" i="8" s="1"/>
  <c r="O25" i="8"/>
  <c r="V25" i="8" s="1"/>
  <c r="K25" i="8"/>
  <c r="F25" i="8"/>
  <c r="D25" i="8"/>
  <c r="E25" i="8" s="1"/>
  <c r="K24" i="8"/>
  <c r="F24" i="8"/>
  <c r="K23" i="8"/>
  <c r="M23" i="8"/>
  <c r="F23" i="8"/>
  <c r="M22" i="8"/>
  <c r="K22" i="8"/>
  <c r="M21" i="8"/>
  <c r="F21" i="8"/>
  <c r="D21" i="8"/>
  <c r="C21" i="8" s="1"/>
  <c r="O20" i="8"/>
  <c r="T20" i="8" s="1"/>
  <c r="M20" i="8"/>
  <c r="K20" i="8"/>
  <c r="V28" i="8"/>
  <c r="F20" i="8"/>
  <c r="O19" i="8"/>
  <c r="T19" i="8" s="1"/>
  <c r="K19" i="8"/>
  <c r="M19" i="8"/>
  <c r="F19" i="8"/>
  <c r="D19" i="8" s="1"/>
  <c r="C19" i="8" s="1"/>
  <c r="O18" i="8"/>
  <c r="T18" i="8" s="1"/>
  <c r="K18" i="8"/>
  <c r="M18" i="8"/>
  <c r="F18" i="8"/>
  <c r="O17" i="8"/>
  <c r="V17" i="8" s="1"/>
  <c r="K17" i="8"/>
  <c r="M17" i="8"/>
  <c r="F17" i="8"/>
  <c r="O16" i="8"/>
  <c r="T16" i="8" s="1"/>
  <c r="K16" i="8"/>
  <c r="M16" i="8"/>
  <c r="F16" i="8"/>
  <c r="O15" i="8"/>
  <c r="V15" i="8" s="1"/>
  <c r="K15" i="8"/>
  <c r="M15" i="8"/>
  <c r="F15" i="8"/>
  <c r="D15" i="8" s="1"/>
  <c r="O14" i="8"/>
  <c r="M14" i="8"/>
  <c r="K14" i="8"/>
  <c r="F14" i="8"/>
  <c r="K13" i="8"/>
  <c r="M13" i="8"/>
  <c r="F13" i="8"/>
  <c r="D13" i="8" s="1"/>
  <c r="E13" i="8" s="1"/>
  <c r="K12" i="8"/>
  <c r="M12" i="8"/>
  <c r="F12" i="8"/>
  <c r="D12" i="8" s="1"/>
  <c r="K11" i="8"/>
  <c r="M11" i="8"/>
  <c r="F11" i="8"/>
  <c r="M10" i="8"/>
  <c r="K10" i="8"/>
  <c r="F10" i="8"/>
  <c r="O9" i="8"/>
  <c r="V9" i="8" s="1"/>
  <c r="K9" i="8"/>
  <c r="M9" i="8"/>
  <c r="F9" i="8"/>
  <c r="D9" i="8" s="1"/>
  <c r="O8" i="8"/>
  <c r="T8" i="8" s="1"/>
  <c r="M8" i="8"/>
  <c r="K8" i="8"/>
  <c r="F8" i="8"/>
  <c r="O7" i="8"/>
  <c r="U7" i="8" s="1"/>
  <c r="K7" i="8"/>
  <c r="M7" i="8"/>
  <c r="F7" i="8"/>
  <c r="D7" i="8" s="1"/>
  <c r="O6" i="8"/>
  <c r="T6" i="8" s="1"/>
  <c r="K6" i="8"/>
  <c r="M6" i="8"/>
  <c r="F6" i="8"/>
  <c r="O5" i="8"/>
  <c r="U5" i="8" s="1"/>
  <c r="K5" i="8"/>
  <c r="M5" i="8"/>
  <c r="F5" i="8"/>
  <c r="D5" i="8" s="1"/>
  <c r="O4" i="8"/>
  <c r="T4" i="8" s="1"/>
  <c r="K4" i="8"/>
  <c r="M4" i="8"/>
  <c r="F4" i="8"/>
  <c r="O3" i="8"/>
  <c r="A42" i="8" s="1"/>
  <c r="K3" i="8"/>
  <c r="M3" i="8"/>
  <c r="F3" i="8"/>
  <c r="D3" i="8" s="1"/>
  <c r="M2" i="8"/>
  <c r="K2" i="8"/>
  <c r="F2" i="8"/>
  <c r="D2" i="8"/>
  <c r="B2" i="8" s="1"/>
  <c r="C2" i="8"/>
  <c r="L29" i="11" l="1"/>
  <c r="B29" i="11"/>
  <c r="L16" i="11"/>
  <c r="B16" i="11"/>
  <c r="B30" i="11"/>
  <c r="L30" i="11" s="1"/>
  <c r="L27" i="11"/>
  <c r="H34" i="11"/>
  <c r="C12" i="11"/>
  <c r="B12" i="11" s="1"/>
  <c r="E12" i="11"/>
  <c r="P27" i="11"/>
  <c r="R36" i="11"/>
  <c r="C10" i="11"/>
  <c r="B10" i="11"/>
  <c r="R9" i="11"/>
  <c r="E10" i="11"/>
  <c r="B9" i="11"/>
  <c r="L9" i="11" s="1"/>
  <c r="C7" i="11"/>
  <c r="B7" i="11"/>
  <c r="E7" i="11"/>
  <c r="S4" i="11"/>
  <c r="Q4" i="11" s="1"/>
  <c r="V21" i="11"/>
  <c r="I39" i="11" s="1"/>
  <c r="L4" i="11"/>
  <c r="R18" i="11"/>
  <c r="S6" i="11"/>
  <c r="Q6" i="11" s="1"/>
  <c r="P6" i="11" s="1"/>
  <c r="V10" i="11"/>
  <c r="I38" i="11" s="1"/>
  <c r="V42" i="11"/>
  <c r="I41" i="11" s="1"/>
  <c r="Q37" i="11"/>
  <c r="P37" i="11" s="1"/>
  <c r="U21" i="11"/>
  <c r="H39" i="11" s="1"/>
  <c r="S29" i="11"/>
  <c r="Q29" i="11" s="1"/>
  <c r="P29" i="11" s="1"/>
  <c r="U10" i="11"/>
  <c r="H38" i="11" s="1"/>
  <c r="U42" i="11"/>
  <c r="H41" i="11" s="1"/>
  <c r="S40" i="11"/>
  <c r="Q40" i="11" s="1"/>
  <c r="P40" i="11" s="1"/>
  <c r="L23" i="9"/>
  <c r="L21" i="9"/>
  <c r="L13" i="9"/>
  <c r="L18" i="9"/>
  <c r="H34" i="9"/>
  <c r="G34" i="9"/>
  <c r="E20" i="9"/>
  <c r="R47" i="9" s="1"/>
  <c r="R36" i="10"/>
  <c r="L12" i="10"/>
  <c r="S28" i="10"/>
  <c r="S32" i="10" s="1"/>
  <c r="F40" i="10" s="1"/>
  <c r="D34" i="10"/>
  <c r="S6" i="10"/>
  <c r="Q6" i="10" s="1"/>
  <c r="P6" i="10" s="1"/>
  <c r="B30" i="10"/>
  <c r="L30" i="10" s="1"/>
  <c r="L28" i="10"/>
  <c r="E14" i="10"/>
  <c r="R47" i="10" s="1"/>
  <c r="L10" i="10"/>
  <c r="B27" i="10"/>
  <c r="L27" i="10" s="1"/>
  <c r="B10" i="10"/>
  <c r="L15" i="9"/>
  <c r="S41" i="9"/>
  <c r="Q41" i="9" s="1"/>
  <c r="P41" i="9" s="1"/>
  <c r="R3" i="9"/>
  <c r="S27" i="9"/>
  <c r="Q27" i="9" s="1"/>
  <c r="P27" i="9" s="1"/>
  <c r="R9" i="9"/>
  <c r="V10" i="9"/>
  <c r="I38" i="9" s="1"/>
  <c r="S4" i="9"/>
  <c r="Q4" i="9" s="1"/>
  <c r="R4" i="9" s="1"/>
  <c r="S37" i="9"/>
  <c r="Q37" i="9" s="1"/>
  <c r="P37" i="9" s="1"/>
  <c r="S40" i="9"/>
  <c r="Q40" i="9" s="1"/>
  <c r="P40" i="9" s="1"/>
  <c r="S7" i="9"/>
  <c r="Q7" i="9" s="1"/>
  <c r="P7" i="9" s="1"/>
  <c r="S28" i="11"/>
  <c r="Q28" i="11" s="1"/>
  <c r="P28" i="11" s="1"/>
  <c r="R15" i="11"/>
  <c r="S30" i="11"/>
  <c r="S3" i="11"/>
  <c r="Q3" i="11" s="1"/>
  <c r="R3" i="11" s="1"/>
  <c r="S14" i="11"/>
  <c r="Q14" i="11" s="1"/>
  <c r="S16" i="11"/>
  <c r="Q16" i="11" s="1"/>
  <c r="P16" i="11" s="1"/>
  <c r="S26" i="11"/>
  <c r="U32" i="11"/>
  <c r="H40" i="11" s="1"/>
  <c r="S7" i="11"/>
  <c r="Q7" i="11" s="1"/>
  <c r="P7" i="11" s="1"/>
  <c r="S19" i="11"/>
  <c r="Q19" i="11" s="1"/>
  <c r="P19" i="11" s="1"/>
  <c r="T21" i="11"/>
  <c r="G39" i="11" s="1"/>
  <c r="Q41" i="11"/>
  <c r="P41" i="11" s="1"/>
  <c r="Q31" i="11"/>
  <c r="P31" i="11" s="1"/>
  <c r="R20" i="11"/>
  <c r="T32" i="11"/>
  <c r="G40" i="11" s="1"/>
  <c r="S25" i="11"/>
  <c r="Q17" i="11"/>
  <c r="P17" i="11" s="1"/>
  <c r="L25" i="11"/>
  <c r="L8" i="11"/>
  <c r="L5" i="11"/>
  <c r="D34" i="11"/>
  <c r="Q47" i="11"/>
  <c r="Q48" i="11" s="1"/>
  <c r="G34" i="11"/>
  <c r="Q39" i="11"/>
  <c r="P39" i="11" s="1"/>
  <c r="T10" i="11"/>
  <c r="G38" i="11" s="1"/>
  <c r="L14" i="11"/>
  <c r="R8" i="11"/>
  <c r="C22" i="11"/>
  <c r="B22" i="11"/>
  <c r="L20" i="11"/>
  <c r="E34" i="11"/>
  <c r="L17" i="11"/>
  <c r="R5" i="11"/>
  <c r="L11" i="11"/>
  <c r="T42" i="11"/>
  <c r="G41" i="11" s="1"/>
  <c r="S38" i="11"/>
  <c r="Q20" i="10"/>
  <c r="P20" i="10" s="1"/>
  <c r="R20" i="10"/>
  <c r="Q27" i="10"/>
  <c r="P27" i="10" s="1"/>
  <c r="R27" i="10"/>
  <c r="S18" i="10"/>
  <c r="U21" i="10"/>
  <c r="H39" i="10" s="1"/>
  <c r="S40" i="10"/>
  <c r="S9" i="10"/>
  <c r="T42" i="10"/>
  <c r="G41" i="10" s="1"/>
  <c r="P3" i="10"/>
  <c r="V21" i="10"/>
  <c r="I39" i="10" s="1"/>
  <c r="V42" i="10"/>
  <c r="I41" i="10" s="1"/>
  <c r="V10" i="10"/>
  <c r="I38" i="10" s="1"/>
  <c r="U10" i="10"/>
  <c r="H38" i="10" s="1"/>
  <c r="U42" i="10"/>
  <c r="H41" i="10" s="1"/>
  <c r="Q17" i="10"/>
  <c r="P17" i="10" s="1"/>
  <c r="S41" i="10"/>
  <c r="Q41" i="10" s="1"/>
  <c r="P41" i="10" s="1"/>
  <c r="Q7" i="10"/>
  <c r="P7" i="10" s="1"/>
  <c r="T10" i="10"/>
  <c r="G38" i="10" s="1"/>
  <c r="R8" i="10"/>
  <c r="R29" i="10"/>
  <c r="S16" i="10"/>
  <c r="T21" i="10"/>
  <c r="G39" i="10" s="1"/>
  <c r="Q5" i="10"/>
  <c r="P5" i="10" s="1"/>
  <c r="L8" i="10"/>
  <c r="Q28" i="10"/>
  <c r="P28" i="10" s="1"/>
  <c r="R26" i="10"/>
  <c r="T32" i="10"/>
  <c r="G40" i="10" s="1"/>
  <c r="U32" i="10"/>
  <c r="H40" i="10" s="1"/>
  <c r="L11" i="10"/>
  <c r="Q19" i="10"/>
  <c r="P19" i="10" s="1"/>
  <c r="R19" i="10"/>
  <c r="L17" i="10"/>
  <c r="S4" i="10"/>
  <c r="L20" i="10"/>
  <c r="S31" i="10"/>
  <c r="C14" i="10"/>
  <c r="B14" i="10"/>
  <c r="B34" i="10" s="1"/>
  <c r="P14" i="10"/>
  <c r="Q25" i="10"/>
  <c r="R25" i="10" s="1"/>
  <c r="Q39" i="10"/>
  <c r="P39" i="10" s="1"/>
  <c r="L5" i="10"/>
  <c r="R37" i="10"/>
  <c r="Q47" i="10"/>
  <c r="Q48" i="10" s="1"/>
  <c r="S38" i="10"/>
  <c r="R6" i="10"/>
  <c r="Q30" i="9"/>
  <c r="P30" i="9" s="1"/>
  <c r="S15" i="9"/>
  <c r="U10" i="9"/>
  <c r="H38" i="9" s="1"/>
  <c r="S18" i="9"/>
  <c r="Q18" i="9" s="1"/>
  <c r="P18" i="9" s="1"/>
  <c r="S6" i="9"/>
  <c r="S36" i="9"/>
  <c r="U32" i="9"/>
  <c r="H40" i="9" s="1"/>
  <c r="V42" i="9"/>
  <c r="I41" i="9" s="1"/>
  <c r="S19" i="9"/>
  <c r="Q19" i="9" s="1"/>
  <c r="P19" i="9" s="1"/>
  <c r="V21" i="9"/>
  <c r="I39" i="9" s="1"/>
  <c r="S31" i="9"/>
  <c r="Q31" i="9" s="1"/>
  <c r="P31" i="9" s="1"/>
  <c r="L12" i="9"/>
  <c r="L10" i="9"/>
  <c r="L11" i="9"/>
  <c r="P14" i="9"/>
  <c r="R20" i="9"/>
  <c r="R5" i="9"/>
  <c r="V32" i="9"/>
  <c r="I40" i="9" s="1"/>
  <c r="L16" i="9"/>
  <c r="R17" i="9"/>
  <c r="S38" i="9"/>
  <c r="T42" i="9"/>
  <c r="G41" i="9" s="1"/>
  <c r="L2" i="9"/>
  <c r="Q39" i="9"/>
  <c r="P39" i="9" s="1"/>
  <c r="U42" i="9"/>
  <c r="H41" i="9" s="1"/>
  <c r="B31" i="9"/>
  <c r="L31" i="9" s="1"/>
  <c r="C20" i="9"/>
  <c r="B20" i="9" s="1"/>
  <c r="R14" i="9"/>
  <c r="T32" i="9"/>
  <c r="G40" i="9" s="1"/>
  <c r="S25" i="9"/>
  <c r="R8" i="9"/>
  <c r="L19" i="9"/>
  <c r="L17" i="9"/>
  <c r="L8" i="9"/>
  <c r="B28" i="9"/>
  <c r="L28" i="9"/>
  <c r="B25" i="9"/>
  <c r="L25" i="9" s="1"/>
  <c r="L7" i="9"/>
  <c r="S28" i="9"/>
  <c r="S16" i="9"/>
  <c r="T21" i="9"/>
  <c r="G39" i="9" s="1"/>
  <c r="T10" i="9"/>
  <c r="G38" i="9" s="1"/>
  <c r="R29" i="9"/>
  <c r="L29" i="9"/>
  <c r="Q26" i="9"/>
  <c r="P26" i="9" s="1"/>
  <c r="L14" i="9"/>
  <c r="L4" i="9"/>
  <c r="U21" i="9"/>
  <c r="H39" i="9" s="1"/>
  <c r="B5" i="9"/>
  <c r="D34" i="9"/>
  <c r="E9" i="8"/>
  <c r="C9" i="8"/>
  <c r="B9" i="8" s="1"/>
  <c r="L9" i="8" s="1"/>
  <c r="E7" i="8"/>
  <c r="C7" i="8"/>
  <c r="B7" i="8" s="1"/>
  <c r="L7" i="8" s="1"/>
  <c r="V37" i="8"/>
  <c r="B33" i="8"/>
  <c r="L33" i="8" s="1"/>
  <c r="T37" i="8"/>
  <c r="S37" i="8" s="1"/>
  <c r="Q37" i="8" s="1"/>
  <c r="P37" i="8" s="1"/>
  <c r="V31" i="8"/>
  <c r="B21" i="8"/>
  <c r="L21" i="8" s="1"/>
  <c r="T26" i="8"/>
  <c r="S26" i="8" s="1"/>
  <c r="Q26" i="8" s="1"/>
  <c r="P26" i="8" s="1"/>
  <c r="V5" i="8"/>
  <c r="T7" i="8"/>
  <c r="S7" i="8" s="1"/>
  <c r="Q7" i="8" s="1"/>
  <c r="R7" i="8" s="1"/>
  <c r="T36" i="8"/>
  <c r="S36" i="8" s="1"/>
  <c r="Q36" i="8" s="1"/>
  <c r="R36" i="8" s="1"/>
  <c r="T28" i="8"/>
  <c r="S28" i="8" s="1"/>
  <c r="V36" i="8"/>
  <c r="C25" i="8"/>
  <c r="B25" i="8" s="1"/>
  <c r="T17" i="8"/>
  <c r="U17" i="8"/>
  <c r="U19" i="8"/>
  <c r="S19" i="8" s="1"/>
  <c r="Q19" i="8" s="1"/>
  <c r="P19" i="8" s="1"/>
  <c r="U27" i="8"/>
  <c r="S27" i="8" s="1"/>
  <c r="A40" i="8"/>
  <c r="V27" i="8"/>
  <c r="T5" i="8"/>
  <c r="S5" i="8" s="1"/>
  <c r="Q5" i="8" s="1"/>
  <c r="P5" i="8" s="1"/>
  <c r="T40" i="8"/>
  <c r="S40" i="8" s="1"/>
  <c r="Q40" i="8" s="1"/>
  <c r="P40" i="8" s="1"/>
  <c r="U18" i="8"/>
  <c r="S18" i="8" s="1"/>
  <c r="U6" i="8"/>
  <c r="S6" i="8" s="1"/>
  <c r="V6" i="8"/>
  <c r="E5" i="8"/>
  <c r="C5" i="8"/>
  <c r="B5" i="8" s="1"/>
  <c r="L5" i="8" s="1"/>
  <c r="E12" i="8"/>
  <c r="C12" i="8"/>
  <c r="E21" i="8"/>
  <c r="E28" i="8"/>
  <c r="B19" i="8"/>
  <c r="L19" i="8" s="1"/>
  <c r="B28" i="8"/>
  <c r="L28" i="8" s="1"/>
  <c r="L2" i="8"/>
  <c r="C15" i="8"/>
  <c r="B15" i="8" s="1"/>
  <c r="E15" i="8"/>
  <c r="C3" i="8"/>
  <c r="B3" i="8"/>
  <c r="E3" i="8"/>
  <c r="E30" i="8"/>
  <c r="C30" i="8"/>
  <c r="B30" i="8"/>
  <c r="D23" i="8"/>
  <c r="E23" i="8"/>
  <c r="M28" i="8"/>
  <c r="V40" i="8"/>
  <c r="D16" i="8"/>
  <c r="U8" i="8"/>
  <c r="S8" i="8" s="1"/>
  <c r="T14" i="8"/>
  <c r="A39" i="8"/>
  <c r="V30" i="8"/>
  <c r="V7" i="8"/>
  <c r="V19" i="8"/>
  <c r="E26" i="8"/>
  <c r="T9" i="8"/>
  <c r="C13" i="8"/>
  <c r="B13" i="8"/>
  <c r="E2" i="8"/>
  <c r="D6" i="8"/>
  <c r="D18" i="8"/>
  <c r="E18" i="8" s="1"/>
  <c r="U20" i="8"/>
  <c r="S20" i="8" s="1"/>
  <c r="V38" i="8"/>
  <c r="U38" i="8"/>
  <c r="V8" i="8"/>
  <c r="V20" i="8"/>
  <c r="D24" i="8"/>
  <c r="V26" i="8"/>
  <c r="D8" i="8"/>
  <c r="U9" i="8"/>
  <c r="U14" i="8"/>
  <c r="D20" i="8"/>
  <c r="U29" i="8"/>
  <c r="S29" i="8" s="1"/>
  <c r="V47" i="8"/>
  <c r="V14" i="8"/>
  <c r="M25" i="8"/>
  <c r="D27" i="8"/>
  <c r="E27" i="8" s="1"/>
  <c r="V29" i="8"/>
  <c r="U31" i="8"/>
  <c r="S31" i="8" s="1"/>
  <c r="T3" i="8"/>
  <c r="T15" i="8"/>
  <c r="U25" i="8"/>
  <c r="T25" i="8"/>
  <c r="T30" i="8"/>
  <c r="I34" i="8"/>
  <c r="T38" i="8"/>
  <c r="U3" i="8"/>
  <c r="D10" i="8"/>
  <c r="E10" i="8" s="1"/>
  <c r="D11" i="8"/>
  <c r="E11" i="8" s="1"/>
  <c r="D14" i="8"/>
  <c r="U30" i="8"/>
  <c r="J34" i="8"/>
  <c r="E19" i="8"/>
  <c r="U4" i="8"/>
  <c r="S4" i="8" s="1"/>
  <c r="U15" i="8"/>
  <c r="U16" i="8"/>
  <c r="S16" i="8" s="1"/>
  <c r="M24" i="8"/>
  <c r="V3" i="8"/>
  <c r="V4" i="8"/>
  <c r="V16" i="8"/>
  <c r="K21" i="8"/>
  <c r="U47" i="8"/>
  <c r="F22" i="8"/>
  <c r="K27" i="8"/>
  <c r="D29" i="8"/>
  <c r="F31" i="8"/>
  <c r="C32" i="8"/>
  <c r="D4" i="8"/>
  <c r="E4" i="8" s="1"/>
  <c r="A38" i="8"/>
  <c r="D17" i="8"/>
  <c r="E17" i="8" s="1"/>
  <c r="V18" i="8"/>
  <c r="B26" i="8"/>
  <c r="L26" i="8" s="1"/>
  <c r="U39" i="8"/>
  <c r="T39" i="8"/>
  <c r="A41" i="8"/>
  <c r="T41" i="8"/>
  <c r="U41" i="8"/>
  <c r="H8" i="6"/>
  <c r="R47" i="11" l="1"/>
  <c r="C34" i="11"/>
  <c r="L12" i="11"/>
  <c r="B34" i="11"/>
  <c r="L10" i="11"/>
  <c r="R6" i="11"/>
  <c r="L7" i="11"/>
  <c r="R40" i="11"/>
  <c r="I42" i="11"/>
  <c r="H42" i="11"/>
  <c r="R29" i="11"/>
  <c r="R37" i="11"/>
  <c r="I42" i="10"/>
  <c r="R27" i="9"/>
  <c r="C34" i="9"/>
  <c r="B34" i="9"/>
  <c r="R40" i="9"/>
  <c r="L5" i="9"/>
  <c r="R18" i="9"/>
  <c r="R30" i="9"/>
  <c r="S39" i="8"/>
  <c r="Q39" i="8" s="1"/>
  <c r="P39" i="8" s="1"/>
  <c r="Q26" i="11"/>
  <c r="P26" i="11" s="1"/>
  <c r="S21" i="11"/>
  <c r="F39" i="11" s="1"/>
  <c r="Q30" i="11"/>
  <c r="P30" i="11" s="1"/>
  <c r="S10" i="11"/>
  <c r="F38" i="11" s="1"/>
  <c r="P3" i="11"/>
  <c r="G42" i="11"/>
  <c r="R41" i="11"/>
  <c r="R17" i="11"/>
  <c r="R28" i="11"/>
  <c r="Q21" i="11"/>
  <c r="P14" i="11"/>
  <c r="P21" i="11" s="1"/>
  <c r="P4" i="11"/>
  <c r="Q10" i="11"/>
  <c r="R14" i="11"/>
  <c r="R4" i="11"/>
  <c r="R31" i="11"/>
  <c r="R7" i="11"/>
  <c r="R16" i="11"/>
  <c r="R19" i="11"/>
  <c r="R39" i="11"/>
  <c r="Q38" i="11"/>
  <c r="S42" i="11"/>
  <c r="F41" i="11" s="1"/>
  <c r="L22" i="11"/>
  <c r="S32" i="11"/>
  <c r="F40" i="11" s="1"/>
  <c r="Q25" i="11"/>
  <c r="R25" i="11" s="1"/>
  <c r="Q18" i="10"/>
  <c r="P18" i="10" s="1"/>
  <c r="Q40" i="10"/>
  <c r="P40" i="10" s="1"/>
  <c r="R40" i="10"/>
  <c r="Q9" i="10"/>
  <c r="P9" i="10" s="1"/>
  <c r="R9" i="10"/>
  <c r="R41" i="10"/>
  <c r="H42" i="10"/>
  <c r="R17" i="10"/>
  <c r="L14" i="10"/>
  <c r="Q31" i="10"/>
  <c r="P31" i="10" s="1"/>
  <c r="L34" i="10"/>
  <c r="R28" i="10"/>
  <c r="C34" i="10"/>
  <c r="R7" i="10"/>
  <c r="R39" i="10"/>
  <c r="R5" i="10"/>
  <c r="Q16" i="10"/>
  <c r="S21" i="10"/>
  <c r="F39" i="10" s="1"/>
  <c r="Q38" i="10"/>
  <c r="R38" i="10" s="1"/>
  <c r="S42" i="10"/>
  <c r="F41" i="10" s="1"/>
  <c r="G42" i="10"/>
  <c r="Q4" i="10"/>
  <c r="R4" i="10"/>
  <c r="S10" i="10"/>
  <c r="F38" i="10" s="1"/>
  <c r="P25" i="10"/>
  <c r="Q36" i="9"/>
  <c r="P36" i="9" s="1"/>
  <c r="Q6" i="9"/>
  <c r="P6" i="9" s="1"/>
  <c r="H42" i="9"/>
  <c r="R7" i="9"/>
  <c r="S10" i="9"/>
  <c r="F38" i="9" s="1"/>
  <c r="Q15" i="9"/>
  <c r="P15" i="9" s="1"/>
  <c r="R37" i="9"/>
  <c r="R39" i="9"/>
  <c r="I42" i="9"/>
  <c r="P4" i="9"/>
  <c r="G42" i="9"/>
  <c r="R31" i="9"/>
  <c r="R41" i="9"/>
  <c r="R19" i="9"/>
  <c r="L20" i="9"/>
  <c r="Q16" i="9"/>
  <c r="R16" i="9" s="1"/>
  <c r="S21" i="9"/>
  <c r="F39" i="9" s="1"/>
  <c r="R26" i="9"/>
  <c r="Q28" i="9"/>
  <c r="P28" i="9" s="1"/>
  <c r="Q38" i="9"/>
  <c r="S42" i="9"/>
  <c r="F41" i="9" s="1"/>
  <c r="S32" i="9"/>
  <c r="F40" i="9" s="1"/>
  <c r="Q25" i="9"/>
  <c r="R25" i="9" s="1"/>
  <c r="K34" i="8"/>
  <c r="P7" i="8"/>
  <c r="Q28" i="8"/>
  <c r="P28" i="8" s="1"/>
  <c r="L25" i="8"/>
  <c r="S15" i="8"/>
  <c r="Q15" i="8" s="1"/>
  <c r="P15" i="8" s="1"/>
  <c r="P36" i="8"/>
  <c r="R40" i="8"/>
  <c r="S17" i="8"/>
  <c r="Q17" i="8" s="1"/>
  <c r="P17" i="8" s="1"/>
  <c r="U42" i="8"/>
  <c r="H41" i="8" s="1"/>
  <c r="S9" i="8"/>
  <c r="Q9" i="8" s="1"/>
  <c r="P9" i="8" s="1"/>
  <c r="S30" i="8"/>
  <c r="Q30" i="8" s="1"/>
  <c r="P30" i="8" s="1"/>
  <c r="M34" i="8"/>
  <c r="B12" i="8"/>
  <c r="L12" i="8" s="1"/>
  <c r="V42" i="8"/>
  <c r="I41" i="8" s="1"/>
  <c r="V32" i="8"/>
  <c r="I40" i="8" s="1"/>
  <c r="S38" i="8"/>
  <c r="Q38" i="8" s="1"/>
  <c r="P38" i="8" s="1"/>
  <c r="Q20" i="8"/>
  <c r="P20" i="8" s="1"/>
  <c r="V21" i="8"/>
  <c r="I39" i="8" s="1"/>
  <c r="S25" i="8"/>
  <c r="T32" i="8"/>
  <c r="G40" i="8" s="1"/>
  <c r="Q29" i="8"/>
  <c r="P29" i="8" s="1"/>
  <c r="Q27" i="8"/>
  <c r="P27" i="8" s="1"/>
  <c r="B32" i="8"/>
  <c r="L32" i="8" s="1"/>
  <c r="Q18" i="8"/>
  <c r="P18" i="8" s="1"/>
  <c r="Q8" i="8"/>
  <c r="P8" i="8" s="1"/>
  <c r="R26" i="8"/>
  <c r="D31" i="8"/>
  <c r="E31" i="8" s="1"/>
  <c r="C14" i="8"/>
  <c r="B14" i="8" s="1"/>
  <c r="Q31" i="8"/>
  <c r="P31" i="8" s="1"/>
  <c r="C24" i="8"/>
  <c r="C29" i="8"/>
  <c r="B29" i="8"/>
  <c r="C17" i="8"/>
  <c r="B17" i="8" s="1"/>
  <c r="E29" i="8"/>
  <c r="C11" i="8"/>
  <c r="B11" i="8"/>
  <c r="C20" i="8"/>
  <c r="B20" i="8"/>
  <c r="C10" i="8"/>
  <c r="B10" i="8" s="1"/>
  <c r="E20" i="8"/>
  <c r="C23" i="8"/>
  <c r="B23" i="8" s="1"/>
  <c r="L15" i="8"/>
  <c r="C8" i="8"/>
  <c r="B8" i="8"/>
  <c r="R5" i="8"/>
  <c r="V10" i="8"/>
  <c r="I38" i="8" s="1"/>
  <c r="E6" i="8"/>
  <c r="T42" i="8"/>
  <c r="G41" i="8" s="1"/>
  <c r="E14" i="8"/>
  <c r="E24" i="8"/>
  <c r="U21" i="8"/>
  <c r="H39" i="8" s="1"/>
  <c r="D22" i="8"/>
  <c r="Q6" i="8"/>
  <c r="P6" i="8" s="1"/>
  <c r="L13" i="8"/>
  <c r="S14" i="8"/>
  <c r="T21" i="8"/>
  <c r="G39" i="8" s="1"/>
  <c r="Q16" i="8"/>
  <c r="P16" i="8" s="1"/>
  <c r="R37" i="8"/>
  <c r="E8" i="8"/>
  <c r="C18" i="8"/>
  <c r="B18" i="8"/>
  <c r="R19" i="8"/>
  <c r="Q4" i="8"/>
  <c r="P4" i="8" s="1"/>
  <c r="C16" i="8"/>
  <c r="B16" i="8"/>
  <c r="C6" i="8"/>
  <c r="B6" i="8"/>
  <c r="E16" i="8"/>
  <c r="U32" i="8"/>
  <c r="H40" i="8" s="1"/>
  <c r="L30" i="8"/>
  <c r="T10" i="8"/>
  <c r="G38" i="8" s="1"/>
  <c r="S3" i="8"/>
  <c r="S41" i="8"/>
  <c r="C4" i="8"/>
  <c r="B4" i="8"/>
  <c r="U10" i="8"/>
  <c r="H38" i="8" s="1"/>
  <c r="C27" i="8"/>
  <c r="B27" i="8" s="1"/>
  <c r="S47" i="8"/>
  <c r="L3" i="8"/>
  <c r="C3" i="6"/>
  <c r="G6" i="6"/>
  <c r="H5" i="6"/>
  <c r="I4" i="6"/>
  <c r="M4" i="6" s="1"/>
  <c r="J4" i="6"/>
  <c r="K4" i="6" s="1"/>
  <c r="I5" i="6"/>
  <c r="J5" i="6"/>
  <c r="K5" i="6" s="1"/>
  <c r="I6" i="6"/>
  <c r="M6" i="6" s="1"/>
  <c r="J6" i="6"/>
  <c r="K6" i="6" s="1"/>
  <c r="I7" i="6"/>
  <c r="M7" i="6" s="1"/>
  <c r="J7" i="6"/>
  <c r="K7" i="6" s="1"/>
  <c r="I8" i="6"/>
  <c r="M8" i="6" s="1"/>
  <c r="J8" i="6"/>
  <c r="K8" i="6" s="1"/>
  <c r="I9" i="6"/>
  <c r="M9" i="6" s="1"/>
  <c r="J9" i="6"/>
  <c r="K9" i="6" s="1"/>
  <c r="I10" i="6"/>
  <c r="M10" i="6" s="1"/>
  <c r="J10" i="6"/>
  <c r="K10" i="6" s="1"/>
  <c r="I11" i="6"/>
  <c r="M11" i="6" s="1"/>
  <c r="J11" i="6"/>
  <c r="K11" i="6" s="1"/>
  <c r="I12" i="6"/>
  <c r="M12" i="6" s="1"/>
  <c r="J12" i="6"/>
  <c r="K12" i="6" s="1"/>
  <c r="I13" i="6"/>
  <c r="M13" i="6" s="1"/>
  <c r="J13" i="6"/>
  <c r="K13" i="6" s="1"/>
  <c r="I14" i="6"/>
  <c r="M14" i="6" s="1"/>
  <c r="J14" i="6"/>
  <c r="K14" i="6" s="1"/>
  <c r="I15" i="6"/>
  <c r="J15" i="6"/>
  <c r="K15" i="6" s="1"/>
  <c r="I16" i="6"/>
  <c r="M16" i="6" s="1"/>
  <c r="J16" i="6"/>
  <c r="K16" i="6" s="1"/>
  <c r="I17" i="6"/>
  <c r="M17" i="6" s="1"/>
  <c r="J17" i="6"/>
  <c r="K17" i="6" s="1"/>
  <c r="I18" i="6"/>
  <c r="M18" i="6" s="1"/>
  <c r="J18" i="6"/>
  <c r="K18" i="6" s="1"/>
  <c r="I19" i="6"/>
  <c r="M19" i="6" s="1"/>
  <c r="J19" i="6"/>
  <c r="K19" i="6" s="1"/>
  <c r="M20" i="6"/>
  <c r="J20" i="6"/>
  <c r="K20" i="6" s="1"/>
  <c r="I21" i="6"/>
  <c r="M21" i="6" s="1"/>
  <c r="J21" i="6"/>
  <c r="I22" i="6"/>
  <c r="J22" i="6"/>
  <c r="K22" i="6" s="1"/>
  <c r="I23" i="6"/>
  <c r="M23" i="6" s="1"/>
  <c r="J23" i="6"/>
  <c r="K23" i="6" s="1"/>
  <c r="I24" i="6"/>
  <c r="M24" i="6" s="1"/>
  <c r="J24" i="6"/>
  <c r="K24" i="6" s="1"/>
  <c r="I25" i="6"/>
  <c r="M25" i="6" s="1"/>
  <c r="J25" i="6"/>
  <c r="K25" i="6" s="1"/>
  <c r="I26" i="6"/>
  <c r="M26" i="6" s="1"/>
  <c r="J26" i="6"/>
  <c r="K26" i="6" s="1"/>
  <c r="I27" i="6"/>
  <c r="V39" i="6" s="1"/>
  <c r="J27" i="6"/>
  <c r="I28" i="6"/>
  <c r="M28" i="6" s="1"/>
  <c r="J28" i="6"/>
  <c r="K28" i="6" s="1"/>
  <c r="I29" i="6"/>
  <c r="M29" i="6" s="1"/>
  <c r="J29" i="6"/>
  <c r="K29" i="6" s="1"/>
  <c r="I30" i="6"/>
  <c r="M30" i="6" s="1"/>
  <c r="J30" i="6"/>
  <c r="K30" i="6" s="1"/>
  <c r="I31" i="6"/>
  <c r="M31" i="6" s="1"/>
  <c r="J31" i="6"/>
  <c r="K31" i="6" s="1"/>
  <c r="I32" i="6"/>
  <c r="M32" i="6" s="1"/>
  <c r="J32" i="6"/>
  <c r="K32" i="6" s="1"/>
  <c r="I33" i="6"/>
  <c r="M33" i="6" s="1"/>
  <c r="J33" i="6"/>
  <c r="K33" i="6" s="1"/>
  <c r="J3" i="6"/>
  <c r="K3" i="6" s="1"/>
  <c r="I3" i="6"/>
  <c r="M3" i="6" s="1"/>
  <c r="D218" i="7"/>
  <c r="D217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T47" i="6"/>
  <c r="O47" i="6"/>
  <c r="O41" i="6"/>
  <c r="O40" i="6"/>
  <c r="T40" i="6" s="1"/>
  <c r="A40" i="6"/>
  <c r="O39" i="6"/>
  <c r="O38" i="6"/>
  <c r="U37" i="6"/>
  <c r="T37" i="6"/>
  <c r="O37" i="6"/>
  <c r="O36" i="6"/>
  <c r="T36" i="6" s="1"/>
  <c r="F33" i="6"/>
  <c r="F32" i="6"/>
  <c r="D32" i="6" s="1"/>
  <c r="O31" i="6"/>
  <c r="T31" i="6" s="1"/>
  <c r="F31" i="6"/>
  <c r="O30" i="6"/>
  <c r="U30" i="6" s="1"/>
  <c r="F30" i="6"/>
  <c r="D30" i="6" s="1"/>
  <c r="O29" i="6"/>
  <c r="T29" i="6" s="1"/>
  <c r="F29" i="6"/>
  <c r="O28" i="6"/>
  <c r="T28" i="6" s="1"/>
  <c r="F28" i="6"/>
  <c r="D28" i="6"/>
  <c r="E28" i="6" s="1"/>
  <c r="C28" i="6"/>
  <c r="O27" i="6"/>
  <c r="F27" i="6"/>
  <c r="U26" i="6"/>
  <c r="O26" i="6"/>
  <c r="T26" i="6" s="1"/>
  <c r="F26" i="6"/>
  <c r="D26" i="6"/>
  <c r="E26" i="6" s="1"/>
  <c r="C26" i="6"/>
  <c r="B26" i="6" s="1"/>
  <c r="O25" i="6"/>
  <c r="F25" i="6"/>
  <c r="D25" i="6" s="1"/>
  <c r="F24" i="6"/>
  <c r="F23" i="6"/>
  <c r="D23" i="6" s="1"/>
  <c r="F22" i="6"/>
  <c r="F21" i="6"/>
  <c r="D21" i="6" s="1"/>
  <c r="O20" i="6"/>
  <c r="F20" i="6"/>
  <c r="O19" i="6"/>
  <c r="T19" i="6" s="1"/>
  <c r="F19" i="6"/>
  <c r="U18" i="6"/>
  <c r="O18" i="6"/>
  <c r="T18" i="6" s="1"/>
  <c r="F18" i="6"/>
  <c r="O17" i="6"/>
  <c r="T17" i="6" s="1"/>
  <c r="F17" i="6"/>
  <c r="D17" i="6" s="1"/>
  <c r="O16" i="6"/>
  <c r="F16" i="6"/>
  <c r="O15" i="6"/>
  <c r="F15" i="6"/>
  <c r="U14" i="6"/>
  <c r="O14" i="6"/>
  <c r="F14" i="6"/>
  <c r="D14" i="6" s="1"/>
  <c r="C14" i="6" s="1"/>
  <c r="E14" i="6"/>
  <c r="B14" i="6"/>
  <c r="F13" i="6"/>
  <c r="F12" i="6"/>
  <c r="D12" i="6" s="1"/>
  <c r="F11" i="6"/>
  <c r="D11" i="6" s="1"/>
  <c r="F10" i="6"/>
  <c r="D10" i="6" s="1"/>
  <c r="C10" i="6" s="1"/>
  <c r="O9" i="6"/>
  <c r="T9" i="6" s="1"/>
  <c r="F9" i="6"/>
  <c r="D9" i="6" s="1"/>
  <c r="O8" i="6"/>
  <c r="F8" i="6"/>
  <c r="D8" i="6" s="1"/>
  <c r="C8" i="6" s="1"/>
  <c r="B8" i="6"/>
  <c r="O7" i="6"/>
  <c r="U7" i="6" s="1"/>
  <c r="F7" i="6"/>
  <c r="D7" i="6" s="1"/>
  <c r="O6" i="6"/>
  <c r="U6" i="6" s="1"/>
  <c r="F6" i="6"/>
  <c r="D6" i="6" s="1"/>
  <c r="C6" i="6" s="1"/>
  <c r="B6" i="6" s="1"/>
  <c r="O5" i="6"/>
  <c r="T5" i="6" s="1"/>
  <c r="F5" i="6"/>
  <c r="D5" i="6" s="1"/>
  <c r="U4" i="6"/>
  <c r="O4" i="6"/>
  <c r="F4" i="6"/>
  <c r="D4" i="6" s="1"/>
  <c r="C4" i="6" s="1"/>
  <c r="O3" i="6"/>
  <c r="A38" i="6" s="1"/>
  <c r="F3" i="6"/>
  <c r="M2" i="6"/>
  <c r="K2" i="6"/>
  <c r="F2" i="6"/>
  <c r="D2" i="6"/>
  <c r="B2" i="6"/>
  <c r="L2" i="6" s="1"/>
  <c r="D67" i="2"/>
  <c r="D68" i="2"/>
  <c r="D69" i="2"/>
  <c r="D70" i="2"/>
  <c r="D71" i="2"/>
  <c r="D72" i="2"/>
  <c r="D73" i="2"/>
  <c r="D74" i="2"/>
  <c r="H31" i="1"/>
  <c r="D48" i="2"/>
  <c r="D46" i="2"/>
  <c r="D47" i="2"/>
  <c r="D57" i="2"/>
  <c r="H27" i="1"/>
  <c r="H25" i="1"/>
  <c r="H22" i="1"/>
  <c r="B28" i="6" l="1"/>
  <c r="E21" i="6"/>
  <c r="C21" i="6"/>
  <c r="L34" i="11"/>
  <c r="R30" i="11"/>
  <c r="R18" i="10"/>
  <c r="R6" i="9"/>
  <c r="R10" i="9" s="1"/>
  <c r="E38" i="9" s="1"/>
  <c r="L34" i="9"/>
  <c r="Q10" i="9"/>
  <c r="D38" i="9" s="1"/>
  <c r="R15" i="9"/>
  <c r="R21" i="9" s="1"/>
  <c r="E39" i="9" s="1"/>
  <c r="R28" i="9"/>
  <c r="R32" i="9" s="1"/>
  <c r="E40" i="9" s="1"/>
  <c r="F42" i="9"/>
  <c r="R28" i="8"/>
  <c r="F42" i="11"/>
  <c r="P10" i="11"/>
  <c r="R26" i="11"/>
  <c r="R21" i="11"/>
  <c r="E39" i="11" s="1"/>
  <c r="P25" i="11"/>
  <c r="P32" i="11" s="1"/>
  <c r="Q32" i="11"/>
  <c r="R10" i="11"/>
  <c r="E38" i="11" s="1"/>
  <c r="Q11" i="11"/>
  <c r="D38" i="11"/>
  <c r="P38" i="11"/>
  <c r="P42" i="11" s="1"/>
  <c r="Q42" i="11"/>
  <c r="D39" i="11"/>
  <c r="Q22" i="11"/>
  <c r="S22" i="11" s="1"/>
  <c r="R38" i="11"/>
  <c r="R42" i="11" s="1"/>
  <c r="E41" i="11" s="1"/>
  <c r="Q32" i="10"/>
  <c r="D40" i="10" s="1"/>
  <c r="P32" i="10"/>
  <c r="F42" i="10"/>
  <c r="R42" i="10"/>
  <c r="E41" i="10" s="1"/>
  <c r="P16" i="10"/>
  <c r="P21" i="10" s="1"/>
  <c r="Q21" i="10"/>
  <c r="R10" i="10"/>
  <c r="E38" i="10" s="1"/>
  <c r="P4" i="10"/>
  <c r="P10" i="10" s="1"/>
  <c r="Q10" i="10"/>
  <c r="R16" i="10"/>
  <c r="R21" i="10" s="1"/>
  <c r="E39" i="10" s="1"/>
  <c r="R31" i="10"/>
  <c r="R32" i="10" s="1"/>
  <c r="E40" i="10" s="1"/>
  <c r="P38" i="10"/>
  <c r="P42" i="10" s="1"/>
  <c r="Q42" i="10"/>
  <c r="P10" i="9"/>
  <c r="R36" i="9"/>
  <c r="P38" i="9"/>
  <c r="P42" i="9" s="1"/>
  <c r="Q42" i="9"/>
  <c r="Q32" i="9"/>
  <c r="P25" i="9"/>
  <c r="P32" i="9" s="1"/>
  <c r="R38" i="9"/>
  <c r="P16" i="9"/>
  <c r="P21" i="9" s="1"/>
  <c r="Q21" i="9"/>
  <c r="H34" i="8"/>
  <c r="R17" i="8"/>
  <c r="G34" i="8"/>
  <c r="Q47" i="8"/>
  <c r="Q48" i="8" s="1"/>
  <c r="E22" i="8"/>
  <c r="R47" i="8" s="1"/>
  <c r="R15" i="8"/>
  <c r="H42" i="8"/>
  <c r="R20" i="8"/>
  <c r="R39" i="8"/>
  <c r="R18" i="8"/>
  <c r="R27" i="8"/>
  <c r="L16" i="8"/>
  <c r="L11" i="8"/>
  <c r="Q3" i="8"/>
  <c r="R16" i="8"/>
  <c r="R29" i="8"/>
  <c r="G42" i="8"/>
  <c r="R4" i="8"/>
  <c r="Q41" i="8"/>
  <c r="L8" i="8"/>
  <c r="F41" i="8"/>
  <c r="L14" i="8"/>
  <c r="L4" i="8"/>
  <c r="R38" i="8"/>
  <c r="C31" i="8"/>
  <c r="B31" i="8"/>
  <c r="R30" i="8"/>
  <c r="F39" i="8"/>
  <c r="Q14" i="8"/>
  <c r="R14" i="8" s="1"/>
  <c r="I42" i="8"/>
  <c r="L17" i="8"/>
  <c r="Q25" i="8"/>
  <c r="R25" i="8" s="1"/>
  <c r="F40" i="8"/>
  <c r="L18" i="8"/>
  <c r="R31" i="8"/>
  <c r="L23" i="8"/>
  <c r="R8" i="8"/>
  <c r="R6" i="8"/>
  <c r="R9" i="8"/>
  <c r="L29" i="8"/>
  <c r="L6" i="8"/>
  <c r="L20" i="8"/>
  <c r="L27" i="8"/>
  <c r="C22" i="8"/>
  <c r="B22" i="8"/>
  <c r="L10" i="8"/>
  <c r="B24" i="8"/>
  <c r="L24" i="8" s="1"/>
  <c r="V25" i="6"/>
  <c r="E11" i="6"/>
  <c r="E9" i="6"/>
  <c r="E8" i="6"/>
  <c r="E6" i="6"/>
  <c r="E4" i="6"/>
  <c r="V4" i="6"/>
  <c r="L6" i="6"/>
  <c r="V37" i="6"/>
  <c r="L14" i="6"/>
  <c r="V6" i="6"/>
  <c r="V18" i="6"/>
  <c r="U19" i="6"/>
  <c r="S19" i="6" s="1"/>
  <c r="Q19" i="6" s="1"/>
  <c r="P19" i="6" s="1"/>
  <c r="V36" i="6"/>
  <c r="U40" i="6"/>
  <c r="S40" i="6" s="1"/>
  <c r="Q40" i="6" s="1"/>
  <c r="P40" i="6" s="1"/>
  <c r="U5" i="6"/>
  <c r="S5" i="6" s="1"/>
  <c r="Q5" i="6" s="1"/>
  <c r="P5" i="6" s="1"/>
  <c r="U36" i="6"/>
  <c r="S36" i="6" s="1"/>
  <c r="Q36" i="6" s="1"/>
  <c r="R36" i="6" s="1"/>
  <c r="V26" i="6"/>
  <c r="V29" i="6"/>
  <c r="L8" i="6"/>
  <c r="V7" i="6"/>
  <c r="V8" i="6"/>
  <c r="T6" i="6"/>
  <c r="S6" i="6" s="1"/>
  <c r="Q6" i="6" s="1"/>
  <c r="P6" i="6" s="1"/>
  <c r="T8" i="6"/>
  <c r="U31" i="6"/>
  <c r="S31" i="6" s="1"/>
  <c r="Q31" i="6" s="1"/>
  <c r="P31" i="6" s="1"/>
  <c r="U29" i="6"/>
  <c r="S29" i="6" s="1"/>
  <c r="U8" i="6"/>
  <c r="V15" i="6"/>
  <c r="V31" i="6"/>
  <c r="T4" i="6"/>
  <c r="S4" i="6" s="1"/>
  <c r="Q4" i="6" s="1"/>
  <c r="P4" i="6" s="1"/>
  <c r="V3" i="6"/>
  <c r="M27" i="6"/>
  <c r="S26" i="6"/>
  <c r="Q26" i="6" s="1"/>
  <c r="P26" i="6" s="1"/>
  <c r="E17" i="6"/>
  <c r="C17" i="6"/>
  <c r="B17" i="6" s="1"/>
  <c r="L17" i="6" s="1"/>
  <c r="E12" i="6"/>
  <c r="C12" i="6"/>
  <c r="E32" i="6"/>
  <c r="C32" i="6"/>
  <c r="B32" i="6" s="1"/>
  <c r="L32" i="6" s="1"/>
  <c r="B10" i="6"/>
  <c r="L10" i="6" s="1"/>
  <c r="E23" i="6"/>
  <c r="S37" i="6"/>
  <c r="Q37" i="6" s="1"/>
  <c r="P37" i="6" s="1"/>
  <c r="B4" i="6"/>
  <c r="E10" i="6"/>
  <c r="T27" i="6"/>
  <c r="V27" i="6"/>
  <c r="U27" i="6"/>
  <c r="C9" i="6"/>
  <c r="B9" i="6" s="1"/>
  <c r="U17" i="6"/>
  <c r="S17" i="6" s="1"/>
  <c r="T20" i="6"/>
  <c r="V20" i="6"/>
  <c r="U20" i="6"/>
  <c r="D22" i="6"/>
  <c r="V41" i="6"/>
  <c r="T41" i="6"/>
  <c r="U41" i="6"/>
  <c r="A41" i="6"/>
  <c r="C5" i="6"/>
  <c r="B5" i="6" s="1"/>
  <c r="U38" i="6"/>
  <c r="V38" i="6"/>
  <c r="T38" i="6"/>
  <c r="D16" i="6"/>
  <c r="V17" i="6"/>
  <c r="E7" i="6"/>
  <c r="A39" i="6"/>
  <c r="T14" i="6"/>
  <c r="T16" i="6"/>
  <c r="V16" i="6"/>
  <c r="U16" i="6"/>
  <c r="V28" i="6"/>
  <c r="U28" i="6"/>
  <c r="S28" i="6" s="1"/>
  <c r="E30" i="6"/>
  <c r="V30" i="6"/>
  <c r="M22" i="6"/>
  <c r="C7" i="6"/>
  <c r="B7" i="6"/>
  <c r="L26" i="6"/>
  <c r="C30" i="6"/>
  <c r="B30" i="6"/>
  <c r="U9" i="6"/>
  <c r="S9" i="6" s="1"/>
  <c r="M15" i="6"/>
  <c r="V19" i="6"/>
  <c r="M5" i="6"/>
  <c r="I34" i="6"/>
  <c r="D20" i="6"/>
  <c r="D31" i="6"/>
  <c r="F34" i="6"/>
  <c r="G35" i="6" s="1"/>
  <c r="G36" i="6" s="1"/>
  <c r="D3" i="6"/>
  <c r="V5" i="6"/>
  <c r="D19" i="6"/>
  <c r="D13" i="6"/>
  <c r="L21" i="6"/>
  <c r="V14" i="6"/>
  <c r="E5" i="6"/>
  <c r="V9" i="6"/>
  <c r="C11" i="6"/>
  <c r="B11" i="6" s="1"/>
  <c r="D15" i="6"/>
  <c r="E25" i="6"/>
  <c r="C25" i="6"/>
  <c r="B25" i="6" s="1"/>
  <c r="D18" i="6"/>
  <c r="U39" i="6"/>
  <c r="T39" i="6"/>
  <c r="T3" i="6"/>
  <c r="T7" i="6"/>
  <c r="S7" i="6" s="1"/>
  <c r="D24" i="6"/>
  <c r="J34" i="6"/>
  <c r="U3" i="6"/>
  <c r="B21" i="6"/>
  <c r="D33" i="6"/>
  <c r="D27" i="6"/>
  <c r="L28" i="6"/>
  <c r="S18" i="6"/>
  <c r="T30" i="6"/>
  <c r="S30" i="6" s="1"/>
  <c r="T15" i="6"/>
  <c r="C23" i="6"/>
  <c r="B23" i="6"/>
  <c r="U25" i="6"/>
  <c r="T25" i="6"/>
  <c r="V40" i="6"/>
  <c r="U15" i="6"/>
  <c r="E2" i="6"/>
  <c r="V47" i="6"/>
  <c r="K21" i="6"/>
  <c r="U47" i="6"/>
  <c r="K27" i="6"/>
  <c r="D29" i="6"/>
  <c r="S47" i="6"/>
  <c r="A42" i="6"/>
  <c r="H23" i="1"/>
  <c r="H21" i="1"/>
  <c r="D32" i="2"/>
  <c r="R32" i="11" l="1"/>
  <c r="E40" i="11" s="1"/>
  <c r="E42" i="11" s="1"/>
  <c r="Q33" i="10"/>
  <c r="Q11" i="9"/>
  <c r="R42" i="9"/>
  <c r="E41" i="9" s="1"/>
  <c r="E42" i="9" s="1"/>
  <c r="C39" i="11"/>
  <c r="B39" i="11" s="1"/>
  <c r="D41" i="11"/>
  <c r="Q43" i="11"/>
  <c r="C38" i="11"/>
  <c r="B38" i="11" s="1"/>
  <c r="Q33" i="11"/>
  <c r="D40" i="11"/>
  <c r="D38" i="10"/>
  <c r="Q11" i="10"/>
  <c r="Q43" i="10"/>
  <c r="D41" i="10"/>
  <c r="C40" i="10"/>
  <c r="B40" i="10" s="1"/>
  <c r="D39" i="10"/>
  <c r="Q22" i="10"/>
  <c r="S22" i="10" s="1"/>
  <c r="E42" i="10"/>
  <c r="Q33" i="9"/>
  <c r="D40" i="9"/>
  <c r="D39" i="9"/>
  <c r="Q22" i="9"/>
  <c r="S22" i="9" s="1"/>
  <c r="C38" i="9"/>
  <c r="B38" i="9" s="1"/>
  <c r="D41" i="9"/>
  <c r="Q43" i="9"/>
  <c r="F42" i="8"/>
  <c r="L22" i="8"/>
  <c r="R32" i="8"/>
  <c r="E40" i="8" s="1"/>
  <c r="Q10" i="8"/>
  <c r="P3" i="8"/>
  <c r="P10" i="8" s="1"/>
  <c r="P41" i="8"/>
  <c r="P42" i="8" s="1"/>
  <c r="Q42" i="8"/>
  <c r="P14" i="8"/>
  <c r="P21" i="8" s="1"/>
  <c r="Q21" i="8"/>
  <c r="R41" i="8"/>
  <c r="R42" i="8" s="1"/>
  <c r="E41" i="8" s="1"/>
  <c r="R3" i="8"/>
  <c r="R10" i="8" s="1"/>
  <c r="E38" i="8" s="1"/>
  <c r="P25" i="8"/>
  <c r="P32" i="8" s="1"/>
  <c r="Q32" i="8"/>
  <c r="L31" i="8"/>
  <c r="R21" i="8"/>
  <c r="E39" i="8" s="1"/>
  <c r="B12" i="6"/>
  <c r="L12" i="6" s="1"/>
  <c r="S8" i="6"/>
  <c r="Q8" i="6" s="1"/>
  <c r="P8" i="6" s="1"/>
  <c r="R19" i="6"/>
  <c r="S39" i="6"/>
  <c r="Q39" i="6" s="1"/>
  <c r="P39" i="6" s="1"/>
  <c r="R26" i="6"/>
  <c r="S15" i="6"/>
  <c r="Q15" i="6" s="1"/>
  <c r="S38" i="6"/>
  <c r="Q38" i="6" s="1"/>
  <c r="P38" i="6" s="1"/>
  <c r="K34" i="6"/>
  <c r="M34" i="6"/>
  <c r="V42" i="6"/>
  <c r="I41" i="6" s="1"/>
  <c r="S20" i="6"/>
  <c r="Q20" i="6" s="1"/>
  <c r="P20" i="6" s="1"/>
  <c r="R5" i="6"/>
  <c r="U42" i="6"/>
  <c r="H41" i="6" s="1"/>
  <c r="R31" i="6"/>
  <c r="U21" i="6"/>
  <c r="H39" i="6" s="1"/>
  <c r="S27" i="6"/>
  <c r="Q27" i="6" s="1"/>
  <c r="P27" i="6" s="1"/>
  <c r="V32" i="6"/>
  <c r="I40" i="6" s="1"/>
  <c r="Q9" i="6"/>
  <c r="P9" i="6" s="1"/>
  <c r="B3" i="6"/>
  <c r="E3" i="6"/>
  <c r="G34" i="6"/>
  <c r="H34" i="6"/>
  <c r="C24" i="6"/>
  <c r="B24" i="6"/>
  <c r="C31" i="6"/>
  <c r="B31" i="6" s="1"/>
  <c r="C16" i="6"/>
  <c r="B16" i="6"/>
  <c r="L9" i="6"/>
  <c r="Q30" i="6"/>
  <c r="P30" i="6" s="1"/>
  <c r="E24" i="6"/>
  <c r="E31" i="6"/>
  <c r="E16" i="6"/>
  <c r="S41" i="6"/>
  <c r="D34" i="6"/>
  <c r="D35" i="6" s="1"/>
  <c r="D36" i="6" s="1"/>
  <c r="Q18" i="6"/>
  <c r="P18" i="6" s="1"/>
  <c r="Q7" i="6"/>
  <c r="P7" i="6" s="1"/>
  <c r="C13" i="6"/>
  <c r="C20" i="6"/>
  <c r="B20" i="6" s="1"/>
  <c r="Q17" i="6"/>
  <c r="P17" i="6" s="1"/>
  <c r="R6" i="6"/>
  <c r="T10" i="6"/>
  <c r="G38" i="6" s="1"/>
  <c r="S3" i="6"/>
  <c r="C15" i="6"/>
  <c r="B15" i="6"/>
  <c r="E13" i="6"/>
  <c r="E20" i="6"/>
  <c r="L30" i="6"/>
  <c r="C22" i="6"/>
  <c r="B22" i="6" s="1"/>
  <c r="E34" i="6"/>
  <c r="C27" i="6"/>
  <c r="B27" i="6" s="1"/>
  <c r="E15" i="6"/>
  <c r="E22" i="6"/>
  <c r="E27" i="6"/>
  <c r="R4" i="6"/>
  <c r="S16" i="6"/>
  <c r="C33" i="6"/>
  <c r="B33" i="6"/>
  <c r="C18" i="6"/>
  <c r="B18" i="6" s="1"/>
  <c r="L11" i="6"/>
  <c r="C19" i="6"/>
  <c r="B19" i="6" s="1"/>
  <c r="S14" i="6"/>
  <c r="T21" i="6"/>
  <c r="G39" i="6" s="1"/>
  <c r="E33" i="6"/>
  <c r="E18" i="6"/>
  <c r="E19" i="6"/>
  <c r="L7" i="6"/>
  <c r="C29" i="6"/>
  <c r="R40" i="6"/>
  <c r="S25" i="6"/>
  <c r="T32" i="6"/>
  <c r="G40" i="6" s="1"/>
  <c r="V10" i="6"/>
  <c r="I38" i="6" s="1"/>
  <c r="T42" i="6"/>
  <c r="G41" i="6" s="1"/>
  <c r="E29" i="6"/>
  <c r="U32" i="6"/>
  <c r="H40" i="6" s="1"/>
  <c r="U10" i="6"/>
  <c r="H38" i="6" s="1"/>
  <c r="R37" i="6"/>
  <c r="V21" i="6"/>
  <c r="I39" i="6" s="1"/>
  <c r="L5" i="6"/>
  <c r="P36" i="6"/>
  <c r="L23" i="6"/>
  <c r="Q29" i="6"/>
  <c r="P29" i="6" s="1"/>
  <c r="L25" i="6"/>
  <c r="Q28" i="6"/>
  <c r="P28" i="6" s="1"/>
  <c r="Q47" i="6"/>
  <c r="Q48" i="6" s="1"/>
  <c r="H6" i="3"/>
  <c r="E16" i="3"/>
  <c r="E5" i="3"/>
  <c r="A42" i="1"/>
  <c r="A41" i="1"/>
  <c r="J33" i="1"/>
  <c r="I33" i="1"/>
  <c r="F33" i="1"/>
  <c r="D33" i="1" s="1"/>
  <c r="J32" i="1"/>
  <c r="I32" i="1"/>
  <c r="F32" i="1"/>
  <c r="D32" i="1" s="1"/>
  <c r="J31" i="1"/>
  <c r="I31" i="1"/>
  <c r="F31" i="1"/>
  <c r="D31" i="1" s="1"/>
  <c r="J30" i="1"/>
  <c r="I30" i="1"/>
  <c r="F30" i="1"/>
  <c r="J29" i="1"/>
  <c r="I29" i="1"/>
  <c r="F29" i="1"/>
  <c r="D29" i="1"/>
  <c r="J28" i="1"/>
  <c r="I28" i="1"/>
  <c r="F28" i="1"/>
  <c r="D28" i="1" s="1"/>
  <c r="J27" i="1"/>
  <c r="I27" i="1"/>
  <c r="F27" i="1"/>
  <c r="D27" i="1"/>
  <c r="E27" i="1" s="1"/>
  <c r="J26" i="1"/>
  <c r="I26" i="1"/>
  <c r="F26" i="1"/>
  <c r="D26" i="1" s="1"/>
  <c r="J25" i="1"/>
  <c r="I25" i="1"/>
  <c r="F25" i="1"/>
  <c r="D25" i="1"/>
  <c r="J24" i="1"/>
  <c r="I24" i="1"/>
  <c r="F24" i="1"/>
  <c r="J23" i="1"/>
  <c r="I23" i="1"/>
  <c r="F23" i="1"/>
  <c r="D23" i="1" s="1"/>
  <c r="J22" i="1"/>
  <c r="I22" i="1"/>
  <c r="F22" i="1"/>
  <c r="D22" i="1"/>
  <c r="E22" i="1" s="1"/>
  <c r="J21" i="1"/>
  <c r="I21" i="1"/>
  <c r="F21" i="1"/>
  <c r="D21" i="1" s="1"/>
  <c r="J20" i="1"/>
  <c r="I20" i="1"/>
  <c r="F20" i="1"/>
  <c r="D20" i="1" s="1"/>
  <c r="J19" i="1"/>
  <c r="I19" i="1"/>
  <c r="F19" i="1"/>
  <c r="D19" i="1"/>
  <c r="D27" i="2"/>
  <c r="D28" i="2"/>
  <c r="D29" i="2"/>
  <c r="D30" i="2"/>
  <c r="D31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9" i="2"/>
  <c r="D50" i="2"/>
  <c r="D51" i="2"/>
  <c r="D52" i="2"/>
  <c r="D53" i="2"/>
  <c r="D54" i="2"/>
  <c r="D55" i="2"/>
  <c r="D56" i="2"/>
  <c r="D58" i="2"/>
  <c r="D59" i="2"/>
  <c r="D60" i="2"/>
  <c r="D61" i="2"/>
  <c r="D62" i="2"/>
  <c r="D63" i="2"/>
  <c r="D64" i="2"/>
  <c r="D65" i="2"/>
  <c r="I14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18" i="1"/>
  <c r="I17" i="1"/>
  <c r="I16" i="1"/>
  <c r="I15" i="1"/>
  <c r="I13" i="1"/>
  <c r="I12" i="1"/>
  <c r="I11" i="1"/>
  <c r="I10" i="1"/>
  <c r="I9" i="1"/>
  <c r="I8" i="1"/>
  <c r="I6" i="1"/>
  <c r="I5" i="1"/>
  <c r="I4" i="1"/>
  <c r="I3" i="1"/>
  <c r="I7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66" i="2"/>
  <c r="D75" i="2"/>
  <c r="D76" i="2"/>
  <c r="U47" i="1"/>
  <c r="T47" i="1"/>
  <c r="O47" i="1"/>
  <c r="O41" i="1"/>
  <c r="U41" i="1" s="1"/>
  <c r="O40" i="1"/>
  <c r="T40" i="1" s="1"/>
  <c r="O39" i="1"/>
  <c r="U39" i="1" s="1"/>
  <c r="O38" i="1"/>
  <c r="O37" i="1"/>
  <c r="U37" i="1" s="1"/>
  <c r="O36" i="1"/>
  <c r="O31" i="1"/>
  <c r="O30" i="1"/>
  <c r="T30" i="1" s="1"/>
  <c r="O29" i="1"/>
  <c r="O28" i="1"/>
  <c r="O27" i="1"/>
  <c r="U27" i="1" s="1"/>
  <c r="O26" i="1"/>
  <c r="T26" i="1" s="1"/>
  <c r="O25" i="1"/>
  <c r="O20" i="1"/>
  <c r="O19" i="1"/>
  <c r="O18" i="1"/>
  <c r="U18" i="1" s="1"/>
  <c r="O17" i="1"/>
  <c r="T17" i="1" s="1"/>
  <c r="F18" i="1"/>
  <c r="D18" i="1" s="1"/>
  <c r="O16" i="1"/>
  <c r="U16" i="1" s="1"/>
  <c r="F17" i="1"/>
  <c r="O15" i="1"/>
  <c r="T15" i="1" s="1"/>
  <c r="F16" i="1"/>
  <c r="D16" i="1" s="1"/>
  <c r="O14" i="1"/>
  <c r="T14" i="1" s="1"/>
  <c r="F15" i="1"/>
  <c r="D15" i="1" s="1"/>
  <c r="F14" i="1"/>
  <c r="D14" i="1" s="1"/>
  <c r="F13" i="1"/>
  <c r="F12" i="1"/>
  <c r="D12" i="1" s="1"/>
  <c r="F11" i="1"/>
  <c r="D11" i="1" s="1"/>
  <c r="O9" i="1"/>
  <c r="T9" i="1" s="1"/>
  <c r="F10" i="1"/>
  <c r="D10" i="1" s="1"/>
  <c r="O8" i="1"/>
  <c r="F9" i="1"/>
  <c r="D9" i="1" s="1"/>
  <c r="O7" i="1"/>
  <c r="F8" i="1"/>
  <c r="D8" i="1" s="1"/>
  <c r="E8" i="1" s="1"/>
  <c r="O6" i="1"/>
  <c r="F7" i="1"/>
  <c r="D7" i="1" s="1"/>
  <c r="O5" i="1"/>
  <c r="T5" i="1" s="1"/>
  <c r="F6" i="1"/>
  <c r="D6" i="1" s="1"/>
  <c r="O4" i="1"/>
  <c r="T4" i="1" s="1"/>
  <c r="F5" i="1"/>
  <c r="D5" i="1" s="1"/>
  <c r="O3" i="1"/>
  <c r="F4" i="1"/>
  <c r="F3" i="1"/>
  <c r="D3" i="1" s="1"/>
  <c r="E3" i="1" s="1"/>
  <c r="D42" i="11" l="1"/>
  <c r="C42" i="11" s="1"/>
  <c r="B42" i="11" s="1"/>
  <c r="D42" i="9"/>
  <c r="C42" i="9" s="1"/>
  <c r="B42" i="9" s="1"/>
  <c r="C41" i="11"/>
  <c r="B41" i="11" s="1"/>
  <c r="C40" i="11"/>
  <c r="B40" i="11" s="1"/>
  <c r="C39" i="10"/>
  <c r="B39" i="10" s="1"/>
  <c r="C41" i="10"/>
  <c r="B41" i="10" s="1"/>
  <c r="C38" i="10"/>
  <c r="B38" i="10"/>
  <c r="D42" i="10"/>
  <c r="C39" i="9"/>
  <c r="B39" i="9" s="1"/>
  <c r="C41" i="9"/>
  <c r="B41" i="9" s="1"/>
  <c r="C40" i="9"/>
  <c r="B40" i="9" s="1"/>
  <c r="L34" i="8"/>
  <c r="D41" i="8"/>
  <c r="Q43" i="8"/>
  <c r="E42" i="8"/>
  <c r="D39" i="8"/>
  <c r="Q22" i="8"/>
  <c r="S22" i="8" s="1"/>
  <c r="Q11" i="8"/>
  <c r="D38" i="8"/>
  <c r="D40" i="8"/>
  <c r="Q33" i="8"/>
  <c r="S42" i="6"/>
  <c r="F41" i="6" s="1"/>
  <c r="P15" i="6"/>
  <c r="R15" i="6"/>
  <c r="R8" i="6"/>
  <c r="K34" i="1"/>
  <c r="J34" i="1"/>
  <c r="R30" i="6"/>
  <c r="H42" i="6"/>
  <c r="R7" i="6"/>
  <c r="I42" i="6"/>
  <c r="R29" i="6"/>
  <c r="G42" i="6"/>
  <c r="Q16" i="6"/>
  <c r="P16" i="6" s="1"/>
  <c r="R38" i="6"/>
  <c r="L20" i="6"/>
  <c r="Q41" i="6"/>
  <c r="P41" i="6" s="1"/>
  <c r="P42" i="6" s="1"/>
  <c r="L33" i="6"/>
  <c r="R17" i="6"/>
  <c r="Q25" i="6"/>
  <c r="R25" i="6" s="1"/>
  <c r="S32" i="6"/>
  <c r="F40" i="6" s="1"/>
  <c r="B13" i="6"/>
  <c r="L24" i="6"/>
  <c r="R20" i="6"/>
  <c r="S21" i="6"/>
  <c r="F39" i="6" s="1"/>
  <c r="Q14" i="6"/>
  <c r="R14" i="6" s="1"/>
  <c r="L3" i="6"/>
  <c r="L4" i="6" s="1"/>
  <c r="C34" i="6"/>
  <c r="R27" i="6"/>
  <c r="L16" i="6"/>
  <c r="L22" i="6"/>
  <c r="L19" i="6"/>
  <c r="R39" i="6"/>
  <c r="L15" i="6"/>
  <c r="L18" i="6"/>
  <c r="R28" i="6"/>
  <c r="R47" i="6"/>
  <c r="B29" i="6"/>
  <c r="L29" i="6" s="1"/>
  <c r="L27" i="6"/>
  <c r="S10" i="6"/>
  <c r="F38" i="6" s="1"/>
  <c r="Q3" i="6"/>
  <c r="R3" i="6" s="1"/>
  <c r="R18" i="6"/>
  <c r="L31" i="6"/>
  <c r="R9" i="6"/>
  <c r="E32" i="1"/>
  <c r="L32" i="1"/>
  <c r="V38" i="1"/>
  <c r="E26" i="1"/>
  <c r="E20" i="1"/>
  <c r="L20" i="1"/>
  <c r="E21" i="1"/>
  <c r="V6" i="1"/>
  <c r="L19" i="1"/>
  <c r="L25" i="1"/>
  <c r="E33" i="1"/>
  <c r="E28" i="1"/>
  <c r="E25" i="1"/>
  <c r="E19" i="1"/>
  <c r="L21" i="1"/>
  <c r="E31" i="1"/>
  <c r="V28" i="1"/>
  <c r="L31" i="1"/>
  <c r="V29" i="1"/>
  <c r="E23" i="1"/>
  <c r="E29" i="1"/>
  <c r="V31" i="1"/>
  <c r="V36" i="1"/>
  <c r="L23" i="1"/>
  <c r="D24" i="1"/>
  <c r="L29" i="1"/>
  <c r="D30" i="1"/>
  <c r="E30" i="1" s="1"/>
  <c r="U17" i="1"/>
  <c r="S17" i="1" s="1"/>
  <c r="Q17" i="1" s="1"/>
  <c r="P17" i="1" s="1"/>
  <c r="T31" i="1"/>
  <c r="U31" i="1"/>
  <c r="T37" i="1"/>
  <c r="S37" i="1" s="1"/>
  <c r="Q37" i="1" s="1"/>
  <c r="R37" i="1" s="1"/>
  <c r="U30" i="1"/>
  <c r="S30" i="1" s="1"/>
  <c r="Q30" i="1" s="1"/>
  <c r="P30" i="1" s="1"/>
  <c r="V30" i="1"/>
  <c r="V17" i="1"/>
  <c r="V8" i="1"/>
  <c r="V16" i="1"/>
  <c r="T18" i="1"/>
  <c r="S18" i="1" s="1"/>
  <c r="Q18" i="1" s="1"/>
  <c r="P18" i="1" s="1"/>
  <c r="V19" i="1"/>
  <c r="V37" i="1"/>
  <c r="U40" i="1"/>
  <c r="S40" i="1" s="1"/>
  <c r="Q40" i="1" s="1"/>
  <c r="P40" i="1" s="1"/>
  <c r="V40" i="1"/>
  <c r="V7" i="1"/>
  <c r="T36" i="1"/>
  <c r="V20" i="1"/>
  <c r="F34" i="1"/>
  <c r="G35" i="1" s="1"/>
  <c r="G36" i="1" s="1"/>
  <c r="T41" i="1"/>
  <c r="S41" i="1" s="1"/>
  <c r="T19" i="1"/>
  <c r="V25" i="1"/>
  <c r="U9" i="1"/>
  <c r="S9" i="1" s="1"/>
  <c r="T27" i="1"/>
  <c r="S27" i="1" s="1"/>
  <c r="Q27" i="1" s="1"/>
  <c r="R27" i="1" s="1"/>
  <c r="V18" i="1"/>
  <c r="V9" i="1"/>
  <c r="V39" i="1"/>
  <c r="U5" i="1"/>
  <c r="S5" i="1" s="1"/>
  <c r="T20" i="1"/>
  <c r="V3" i="1"/>
  <c r="V5" i="1"/>
  <c r="T38" i="1"/>
  <c r="V4" i="1"/>
  <c r="V26" i="1"/>
  <c r="U14" i="1"/>
  <c r="S14" i="1" s="1"/>
  <c r="T6" i="1"/>
  <c r="T3" i="1"/>
  <c r="T7" i="1"/>
  <c r="U15" i="1"/>
  <c r="S15" i="1" s="1"/>
  <c r="Q15" i="1" s="1"/>
  <c r="T25" i="1"/>
  <c r="T28" i="1"/>
  <c r="U3" i="1"/>
  <c r="U7" i="1"/>
  <c r="V15" i="1"/>
  <c r="U25" i="1"/>
  <c r="U28" i="1"/>
  <c r="V27" i="1"/>
  <c r="U38" i="1"/>
  <c r="U4" i="1"/>
  <c r="S4" i="1" s="1"/>
  <c r="U8" i="1"/>
  <c r="U19" i="1"/>
  <c r="U26" i="1"/>
  <c r="S26" i="1" s="1"/>
  <c r="U29" i="1"/>
  <c r="U36" i="1"/>
  <c r="U6" i="1"/>
  <c r="V41" i="1"/>
  <c r="T8" i="1"/>
  <c r="T29" i="1"/>
  <c r="T16" i="1"/>
  <c r="S16" i="1" s="1"/>
  <c r="Q16" i="1" s="1"/>
  <c r="T39" i="1"/>
  <c r="S39" i="1" s="1"/>
  <c r="Q39" i="1" s="1"/>
  <c r="P39" i="1" s="1"/>
  <c r="V14" i="1"/>
  <c r="U20" i="1"/>
  <c r="V47" i="1"/>
  <c r="M34" i="1"/>
  <c r="I34" i="1"/>
  <c r="L10" i="1"/>
  <c r="L9" i="1"/>
  <c r="L7" i="1"/>
  <c r="L18" i="1"/>
  <c r="L6" i="1"/>
  <c r="L16" i="1"/>
  <c r="L15" i="1"/>
  <c r="L12" i="1"/>
  <c r="L11" i="1"/>
  <c r="L5" i="1"/>
  <c r="E18" i="1"/>
  <c r="E16" i="1"/>
  <c r="E14" i="1"/>
  <c r="A38" i="1"/>
  <c r="S47" i="1"/>
  <c r="A39" i="1"/>
  <c r="D4" i="1"/>
  <c r="E4" i="1" s="1"/>
  <c r="E5" i="1"/>
  <c r="E15" i="1"/>
  <c r="D13" i="1"/>
  <c r="D17" i="1"/>
  <c r="E6" i="1"/>
  <c r="E7" i="1"/>
  <c r="A40" i="1"/>
  <c r="E9" i="1"/>
  <c r="E10" i="1"/>
  <c r="E11" i="1"/>
  <c r="E12" i="1"/>
  <c r="C42" i="10" l="1"/>
  <c r="B42" i="10" s="1"/>
  <c r="C40" i="8"/>
  <c r="B40" i="8" s="1"/>
  <c r="C38" i="8"/>
  <c r="B38" i="8" s="1"/>
  <c r="D42" i="8"/>
  <c r="C39" i="8"/>
  <c r="B39" i="8" s="1"/>
  <c r="C41" i="8"/>
  <c r="B41" i="8" s="1"/>
  <c r="B34" i="6"/>
  <c r="Q42" i="6"/>
  <c r="Q43" i="6" s="1"/>
  <c r="L13" i="6"/>
  <c r="L34" i="6" s="1"/>
  <c r="R10" i="6"/>
  <c r="E38" i="6" s="1"/>
  <c r="R41" i="6"/>
  <c r="R42" i="6" s="1"/>
  <c r="E41" i="6" s="1"/>
  <c r="R16" i="6"/>
  <c r="R21" i="6" s="1"/>
  <c r="E39" i="6" s="1"/>
  <c r="F42" i="6"/>
  <c r="Q32" i="6"/>
  <c r="P25" i="6"/>
  <c r="P32" i="6" s="1"/>
  <c r="Q21" i="6"/>
  <c r="P14" i="6"/>
  <c r="P21" i="6" s="1"/>
  <c r="Q10" i="6"/>
  <c r="P3" i="6"/>
  <c r="P10" i="6" s="1"/>
  <c r="R32" i="6"/>
  <c r="E40" i="6" s="1"/>
  <c r="L26" i="1"/>
  <c r="S31" i="1"/>
  <c r="Q31" i="1" s="1"/>
  <c r="P31" i="1" s="1"/>
  <c r="L28" i="1"/>
  <c r="E34" i="1"/>
  <c r="D34" i="1"/>
  <c r="D35" i="1" s="1"/>
  <c r="D36" i="1" s="1"/>
  <c r="L33" i="1"/>
  <c r="L22" i="1"/>
  <c r="L27" i="1"/>
  <c r="S25" i="1"/>
  <c r="Q25" i="1" s="1"/>
  <c r="P25" i="1" s="1"/>
  <c r="E24" i="1"/>
  <c r="S20" i="1"/>
  <c r="Q20" i="1" s="1"/>
  <c r="P20" i="1" s="1"/>
  <c r="P37" i="1"/>
  <c r="P27" i="1"/>
  <c r="Q14" i="1"/>
  <c r="P14" i="1" s="1"/>
  <c r="R30" i="1"/>
  <c r="S28" i="1"/>
  <c r="Q28" i="1" s="1"/>
  <c r="P28" i="1" s="1"/>
  <c r="Q41" i="1"/>
  <c r="P41" i="1" s="1"/>
  <c r="S19" i="1"/>
  <c r="Q19" i="1" s="1"/>
  <c r="P19" i="1" s="1"/>
  <c r="S38" i="1"/>
  <c r="Q38" i="1" s="1"/>
  <c r="P38" i="1" s="1"/>
  <c r="S36" i="1"/>
  <c r="Q36" i="1" s="1"/>
  <c r="P36" i="1" s="1"/>
  <c r="S6" i="1"/>
  <c r="Q6" i="1" s="1"/>
  <c r="P6" i="1" s="1"/>
  <c r="Q26" i="1"/>
  <c r="P26" i="1" s="1"/>
  <c r="R15" i="1"/>
  <c r="P15" i="1"/>
  <c r="S7" i="1"/>
  <c r="Q7" i="1" s="1"/>
  <c r="P7" i="1" s="1"/>
  <c r="S8" i="1"/>
  <c r="Q8" i="1" s="1"/>
  <c r="P8" i="1" s="1"/>
  <c r="R16" i="1"/>
  <c r="P16" i="1"/>
  <c r="S3" i="1"/>
  <c r="S29" i="1"/>
  <c r="R39" i="1"/>
  <c r="R40" i="1"/>
  <c r="R17" i="1"/>
  <c r="R18" i="1"/>
  <c r="L8" i="1"/>
  <c r="L14" i="1"/>
  <c r="L3" i="1"/>
  <c r="V21" i="1"/>
  <c r="I39" i="1" s="1"/>
  <c r="V42" i="1"/>
  <c r="I41" i="1" s="1"/>
  <c r="Q5" i="1"/>
  <c r="P5" i="1" s="1"/>
  <c r="Q9" i="1"/>
  <c r="P9" i="1" s="1"/>
  <c r="Q4" i="1"/>
  <c r="P4" i="1" s="1"/>
  <c r="U32" i="1"/>
  <c r="H40" i="1" s="1"/>
  <c r="U10" i="1"/>
  <c r="H38" i="1" s="1"/>
  <c r="V10" i="1"/>
  <c r="I38" i="1" s="1"/>
  <c r="U21" i="1"/>
  <c r="H39" i="1" s="1"/>
  <c r="V32" i="1"/>
  <c r="I40" i="1" s="1"/>
  <c r="E13" i="1"/>
  <c r="H34" i="1"/>
  <c r="E17" i="1"/>
  <c r="Q47" i="1"/>
  <c r="Q48" i="1" s="1"/>
  <c r="U42" i="1"/>
  <c r="H41" i="1" s="1"/>
  <c r="G34" i="1"/>
  <c r="C42" i="8" l="1"/>
  <c r="B42" i="8" s="1"/>
  <c r="D41" i="6"/>
  <c r="C41" i="6" s="1"/>
  <c r="B41" i="6" s="1"/>
  <c r="R31" i="1"/>
  <c r="E42" i="6"/>
  <c r="D39" i="6"/>
  <c r="Q22" i="6"/>
  <c r="S22" i="6" s="1"/>
  <c r="Q33" i="6"/>
  <c r="D40" i="6"/>
  <c r="Q11" i="6"/>
  <c r="D38" i="6"/>
  <c r="C34" i="1"/>
  <c r="R26" i="1"/>
  <c r="R14" i="1"/>
  <c r="L30" i="1"/>
  <c r="R25" i="1"/>
  <c r="R36" i="1"/>
  <c r="R19" i="1"/>
  <c r="R41" i="1"/>
  <c r="R28" i="1"/>
  <c r="R38" i="1"/>
  <c r="R20" i="1"/>
  <c r="Q29" i="1"/>
  <c r="P29" i="1" s="1"/>
  <c r="L4" i="1"/>
  <c r="L17" i="1"/>
  <c r="L13" i="1"/>
  <c r="R8" i="1"/>
  <c r="R6" i="1"/>
  <c r="T21" i="1"/>
  <c r="G39" i="1" s="1"/>
  <c r="T42" i="1"/>
  <c r="G41" i="1" s="1"/>
  <c r="I42" i="1"/>
  <c r="R7" i="1"/>
  <c r="H42" i="1"/>
  <c r="T10" i="1"/>
  <c r="G38" i="1" s="1"/>
  <c r="R9" i="1"/>
  <c r="R4" i="1"/>
  <c r="R5" i="1"/>
  <c r="R47" i="1"/>
  <c r="Q3" i="1"/>
  <c r="R3" i="1" s="1"/>
  <c r="S10" i="1"/>
  <c r="F38" i="1" s="1"/>
  <c r="S21" i="1"/>
  <c r="F39" i="1" s="1"/>
  <c r="S42" i="1"/>
  <c r="F41" i="1" s="1"/>
  <c r="C38" i="6" l="1"/>
  <c r="B38" i="6" s="1"/>
  <c r="D42" i="6"/>
  <c r="C40" i="6"/>
  <c r="B40" i="6" s="1"/>
  <c r="C39" i="6"/>
  <c r="B39" i="6" s="1"/>
  <c r="B34" i="1"/>
  <c r="L24" i="1"/>
  <c r="L34" i="1" s="1"/>
  <c r="R29" i="1"/>
  <c r="T32" i="1"/>
  <c r="G40" i="1" s="1"/>
  <c r="G42" i="1" s="1"/>
  <c r="R10" i="1"/>
  <c r="E38" i="1" s="1"/>
  <c r="P3" i="1"/>
  <c r="P10" i="1" s="1"/>
  <c r="Q10" i="1"/>
  <c r="P21" i="1"/>
  <c r="Q21" i="1"/>
  <c r="Q42" i="1"/>
  <c r="P42" i="1"/>
  <c r="C42" i="6" l="1"/>
  <c r="B42" i="6" s="1"/>
  <c r="R21" i="1"/>
  <c r="E39" i="1" s="1"/>
  <c r="S32" i="1"/>
  <c r="F40" i="1" s="1"/>
  <c r="F42" i="1" s="1"/>
  <c r="R42" i="1"/>
  <c r="E41" i="1" s="1"/>
  <c r="Q43" i="1"/>
  <c r="D41" i="1"/>
  <c r="C41" i="1" s="1"/>
  <c r="B41" i="1" s="1"/>
  <c r="Q22" i="1"/>
  <c r="S22" i="1" s="1"/>
  <c r="D39" i="1"/>
  <c r="D38" i="1"/>
  <c r="Q11" i="1"/>
  <c r="C38" i="1" l="1"/>
  <c r="B38" i="1" s="1"/>
  <c r="C39" i="1"/>
  <c r="B39" i="1" s="1"/>
  <c r="R32" i="1"/>
  <c r="E40" i="1" s="1"/>
  <c r="E42" i="1" s="1"/>
  <c r="P32" i="1"/>
  <c r="Q32" i="1"/>
  <c r="D40" i="1" l="1"/>
  <c r="Q33" i="1"/>
  <c r="C40" i="1" l="1"/>
  <c r="B40" i="1" s="1"/>
  <c r="D42" i="1"/>
  <c r="C42" i="1" s="1"/>
  <c r="B42" i="1" s="1"/>
  <c r="K19" i="12"/>
  <c r="I27" i="12" s="1"/>
  <c r="F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tc={C0B33DE3-036A-4C1B-85F4-1F354A29AD5E}</author>
  </authors>
  <commentList>
    <comment ref="Y21" authorId="0" shapeId="0" xr:uid="{C0B33DE3-036A-4C1B-85F4-1F354A29AD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Shortfall Amount , need to recovered from  Loan Amount
</t>
      </text>
    </comment>
  </commentList>
</comments>
</file>

<file path=xl/sharedStrings.xml><?xml version="1.0" encoding="utf-8"?>
<sst xmlns="http://schemas.openxmlformats.org/spreadsheetml/2006/main" count="2817" uniqueCount="411">
  <si>
    <t>Date</t>
  </si>
  <si>
    <t>Profit</t>
  </si>
  <si>
    <t>Actual</t>
  </si>
  <si>
    <t>Total</t>
  </si>
  <si>
    <t>Cash</t>
  </si>
  <si>
    <t>Account Transfer</t>
  </si>
  <si>
    <t>Expense</t>
  </si>
  <si>
    <t>Mul Bhag</t>
  </si>
  <si>
    <t>Export</t>
  </si>
  <si>
    <t>Mulbhag</t>
  </si>
  <si>
    <t>Actual Profit</t>
  </si>
  <si>
    <t>Expense Online</t>
  </si>
  <si>
    <t>cash on hand</t>
  </si>
  <si>
    <t>Account Balance</t>
  </si>
  <si>
    <t>Actual Balance</t>
  </si>
  <si>
    <t>Last month Balance</t>
  </si>
  <si>
    <t>Remarks</t>
  </si>
  <si>
    <t>Home Expense Kanchanbhabhi</t>
  </si>
  <si>
    <t>Rohan bhai for painting matka</t>
  </si>
  <si>
    <t>porter</t>
  </si>
  <si>
    <t>Gas</t>
  </si>
  <si>
    <t>dahi</t>
  </si>
  <si>
    <t>Khurja Gadi Hamali</t>
  </si>
  <si>
    <t>Return</t>
  </si>
  <si>
    <t>Empty box</t>
  </si>
  <si>
    <t>Internet</t>
  </si>
  <si>
    <t>Nasto</t>
  </si>
  <si>
    <t>Ayan t Salary</t>
  </si>
  <si>
    <t>Faizan Salary</t>
  </si>
  <si>
    <t>Ayan Khan Salary</t>
  </si>
  <si>
    <t>Taxi fare</t>
  </si>
  <si>
    <t>Ayan khan Recharge</t>
  </si>
  <si>
    <t>Home Expense Pepsi</t>
  </si>
  <si>
    <t>Dasrath Transport</t>
  </si>
  <si>
    <t>Row Labels</t>
  </si>
  <si>
    <t>Grand Total</t>
  </si>
  <si>
    <t>Sum of Total</t>
  </si>
  <si>
    <t>Sum of Cash</t>
  </si>
  <si>
    <t>Sum of Account Transfer</t>
  </si>
  <si>
    <t>NAsto</t>
  </si>
  <si>
    <t>Faizan Recharge</t>
  </si>
  <si>
    <t>nasto</t>
  </si>
  <si>
    <t>Home</t>
  </si>
  <si>
    <t>Pottery wale bill for T0 and T9</t>
  </si>
  <si>
    <t>Type of Expemse</t>
  </si>
  <si>
    <t>Bill</t>
  </si>
  <si>
    <t>Transport</t>
  </si>
  <si>
    <t>HOme</t>
  </si>
  <si>
    <t>Shop</t>
  </si>
  <si>
    <t>Material</t>
  </si>
  <si>
    <t>Chai Nasto</t>
  </si>
  <si>
    <t>Salary</t>
  </si>
  <si>
    <t>Gujarat Gadi Hamali</t>
  </si>
  <si>
    <t>Loan From BOB</t>
  </si>
  <si>
    <t>Dharmesh Loan</t>
  </si>
  <si>
    <t>Cred</t>
  </si>
  <si>
    <t>Bajaj</t>
  </si>
  <si>
    <t>Early Salary</t>
  </si>
  <si>
    <t>Navi</t>
  </si>
  <si>
    <t>Credit card</t>
  </si>
  <si>
    <t>Axis</t>
  </si>
  <si>
    <t>Hdfc</t>
  </si>
  <si>
    <t>Citi</t>
  </si>
  <si>
    <t>SBI</t>
  </si>
  <si>
    <t>RBL</t>
  </si>
  <si>
    <t>Amount</t>
  </si>
  <si>
    <t>fruit</t>
  </si>
  <si>
    <t>Null</t>
  </si>
  <si>
    <t>Oil</t>
  </si>
  <si>
    <t>Bank</t>
  </si>
  <si>
    <t>Jayantibhai Bill</t>
  </si>
  <si>
    <t>Rehan Recharge</t>
  </si>
  <si>
    <t>(blank)</t>
  </si>
  <si>
    <t>Thaili</t>
  </si>
  <si>
    <t>shop</t>
  </si>
  <si>
    <t>Rent</t>
  </si>
  <si>
    <t>CGMST Fees</t>
  </si>
  <si>
    <t>Bank Interest</t>
  </si>
  <si>
    <t>Hamali</t>
  </si>
  <si>
    <t>vicky bill</t>
  </si>
  <si>
    <t>Ayan Salary</t>
  </si>
  <si>
    <t>Rehan Salary</t>
  </si>
  <si>
    <t>Jameel Bhai Payment</t>
  </si>
  <si>
    <t>Deepak bhai Dadar</t>
  </si>
  <si>
    <t>Dyaneshwar bhai khadvali</t>
  </si>
  <si>
    <t>bill</t>
  </si>
  <si>
    <t>Rajukaka Mataka bill</t>
  </si>
  <si>
    <t>Rajubhai matala cement</t>
  </si>
  <si>
    <t>Rajubhai matala badhvana</t>
  </si>
  <si>
    <t>nall</t>
  </si>
  <si>
    <t>Sachin Saphire Art</t>
  </si>
  <si>
    <t>Afzal 25 salary</t>
  </si>
  <si>
    <t>Hukmpal Transport</t>
  </si>
  <si>
    <t>Sajidbhai Metro ceramic</t>
  </si>
  <si>
    <t>cement</t>
  </si>
  <si>
    <t>har full</t>
  </si>
  <si>
    <t>Hamali(335 box x 7) Delhi</t>
  </si>
  <si>
    <t>Nall</t>
  </si>
  <si>
    <t>Eidi</t>
  </si>
  <si>
    <t>Light Repair</t>
  </si>
  <si>
    <t>Ayan  T Salary</t>
  </si>
  <si>
    <t>rajubhai cement</t>
  </si>
  <si>
    <t>Rehan Salary Mar 25</t>
  </si>
  <si>
    <t>salary</t>
  </si>
  <si>
    <t>Ayan Khan Salary Mar 25</t>
  </si>
  <si>
    <t>Viral Bottle payment</t>
  </si>
  <si>
    <t>rajubhai nall badhavana</t>
  </si>
  <si>
    <t>chai</t>
  </si>
  <si>
    <t>Taxi</t>
  </si>
  <si>
    <t>Tape</t>
  </si>
  <si>
    <t>Soap</t>
  </si>
  <si>
    <t>Cash to GPAY</t>
  </si>
  <si>
    <t>Raju Bhai Matala badhavana</t>
  </si>
  <si>
    <t>Box</t>
  </si>
  <si>
    <t>Ayan T Recharges</t>
  </si>
  <si>
    <t>Fruit</t>
  </si>
  <si>
    <t>Dahi Mavo</t>
  </si>
  <si>
    <t>Gujrat Gadi Hamali Bottle</t>
  </si>
  <si>
    <t>Mango</t>
  </si>
  <si>
    <t>plumber</t>
  </si>
  <si>
    <t>Rajubhai Matala wada</t>
  </si>
  <si>
    <t>Paneer</t>
  </si>
  <si>
    <t>Ayan Khan Recharge</t>
  </si>
  <si>
    <t>Ayan Khan Salary Advance</t>
  </si>
  <si>
    <t>Faizan March salary</t>
  </si>
  <si>
    <t>Afzal 25 March salary</t>
  </si>
  <si>
    <t xml:space="preserve">Nasto </t>
  </si>
  <si>
    <t>Dan</t>
  </si>
  <si>
    <t>Column1</t>
  </si>
  <si>
    <t>Home Expense</t>
  </si>
  <si>
    <t>Hamali Khurja</t>
  </si>
  <si>
    <t>Vicky T0 Bill</t>
  </si>
  <si>
    <t>Dharmesh</t>
  </si>
  <si>
    <t>Bharatbhai Kurla t9 bill</t>
  </si>
  <si>
    <t>Sharmaji for Electic</t>
  </si>
  <si>
    <t>Rabadi payment</t>
  </si>
  <si>
    <t>Pratap Industries Advance</t>
  </si>
  <si>
    <t>HDFC CC</t>
  </si>
  <si>
    <t>Tata Card CC</t>
  </si>
  <si>
    <t>Vinod</t>
  </si>
  <si>
    <t>SBI CC</t>
  </si>
  <si>
    <t>VIVIF</t>
  </si>
  <si>
    <t>Yagnesh</t>
  </si>
  <si>
    <t>Kreditbee</t>
  </si>
  <si>
    <t>HDFC Jumbo</t>
  </si>
  <si>
    <t>Arun</t>
  </si>
  <si>
    <t>ICICI ML</t>
  </si>
  <si>
    <t>HDFC PL</t>
  </si>
  <si>
    <t>Rajubhai</t>
  </si>
  <si>
    <t>Bharat bank</t>
  </si>
  <si>
    <t>HSBC CC</t>
  </si>
  <si>
    <t>Axis Priveldege</t>
  </si>
  <si>
    <t>ICICI CC</t>
  </si>
  <si>
    <t>AXIS Citi</t>
  </si>
  <si>
    <t xml:space="preserve">Arun </t>
  </si>
  <si>
    <t>ICICI</t>
  </si>
  <si>
    <t>Narottam</t>
  </si>
  <si>
    <t>Owner</t>
  </si>
  <si>
    <t>EMI Date</t>
  </si>
  <si>
    <t>Outstanding</t>
  </si>
  <si>
    <t>SHop</t>
  </si>
  <si>
    <t>Mitti</t>
  </si>
  <si>
    <t>Ayaan K Advance</t>
  </si>
  <si>
    <t>Ayaan T Advance</t>
  </si>
  <si>
    <t>Vendor Name</t>
  </si>
  <si>
    <t>Balance Amount</t>
  </si>
  <si>
    <t>Payment Date</t>
  </si>
  <si>
    <t>Hukumpal</t>
  </si>
  <si>
    <t>Shahbhai Bill</t>
  </si>
  <si>
    <t>Cement Plaster</t>
  </si>
  <si>
    <t>Deepak bhai Dadar Bill</t>
  </si>
  <si>
    <t>Sajid Bhai Bill</t>
  </si>
  <si>
    <t>Shop Rent</t>
  </si>
  <si>
    <t>Vinod Jogeshwari</t>
  </si>
  <si>
    <t>Payment Amount</t>
  </si>
  <si>
    <t>Hukumpal Transport</t>
  </si>
  <si>
    <t>Income</t>
  </si>
  <si>
    <t>Month</t>
  </si>
  <si>
    <t>Lota Bill</t>
  </si>
  <si>
    <t>Customer Return</t>
  </si>
  <si>
    <t>Potttery wale</t>
  </si>
  <si>
    <t>Iqbal bhai website</t>
  </si>
  <si>
    <t>Ayan Salary Advnce</t>
  </si>
  <si>
    <t>Rehan Salary Advance</t>
  </si>
  <si>
    <t>Faizan Salary Advance</t>
  </si>
  <si>
    <t>Mohanbhai Jilla bill</t>
  </si>
  <si>
    <t>Garba colors</t>
  </si>
  <si>
    <t>Gaumukh</t>
  </si>
  <si>
    <t>Mavo</t>
  </si>
  <si>
    <t>Type</t>
  </si>
  <si>
    <t>EMI</t>
  </si>
  <si>
    <t>CC</t>
  </si>
  <si>
    <t>Dasrthbhai Transport</t>
  </si>
  <si>
    <t>Type of Expense</t>
  </si>
  <si>
    <t>Mahendrabhai Electric bill</t>
  </si>
  <si>
    <t>Electric Bill</t>
  </si>
  <si>
    <t>Shailesh Electric bill</t>
  </si>
  <si>
    <t>Haresh Electric Bill</t>
  </si>
  <si>
    <t>Mahendrabhai Electric bill -2</t>
  </si>
  <si>
    <t>Dakshina</t>
  </si>
  <si>
    <t>Paid</t>
  </si>
  <si>
    <t>Balance</t>
  </si>
  <si>
    <t>Vendor Payment</t>
  </si>
  <si>
    <t>Tap</t>
  </si>
  <si>
    <t>Rajubhai matala Wada</t>
  </si>
  <si>
    <t>HDFC</t>
  </si>
  <si>
    <t>BOB</t>
  </si>
  <si>
    <t>Manojbhai bill</t>
  </si>
  <si>
    <t>Ayan Salary Advance</t>
  </si>
  <si>
    <t>Status</t>
  </si>
  <si>
    <t>Gift</t>
  </si>
  <si>
    <t>Vapi Cash</t>
  </si>
  <si>
    <t>Vapi Ticket</t>
  </si>
  <si>
    <t>Audit Fees</t>
  </si>
  <si>
    <t>Review Fees</t>
  </si>
  <si>
    <t>Chand Salary Advance</t>
  </si>
  <si>
    <t>Gas Cylinder</t>
  </si>
  <si>
    <t xml:space="preserve">Rabdi Basundi </t>
  </si>
  <si>
    <t>Hamali Khurja Gadi</t>
  </si>
  <si>
    <t>Porter</t>
  </si>
  <si>
    <t>Cement</t>
  </si>
  <si>
    <t>Kala matala bill(laxman Ladva)</t>
  </si>
  <si>
    <t>Jameel bhai bill</t>
  </si>
  <si>
    <t>Hukumpal singh</t>
  </si>
  <si>
    <t>Salimbhai Khurja</t>
  </si>
  <si>
    <t>Sajidbhai Bill</t>
  </si>
  <si>
    <t>Nasto chaa Pani</t>
  </si>
  <si>
    <t>Ice cream</t>
  </si>
  <si>
    <t>Harfull</t>
  </si>
  <si>
    <t>Daily Payment System</t>
  </si>
  <si>
    <t>Vendor</t>
  </si>
  <si>
    <t>Amount--&gt;</t>
  </si>
  <si>
    <t>Udhar</t>
  </si>
  <si>
    <t>As on 18-05-25</t>
  </si>
  <si>
    <t>Paper</t>
  </si>
  <si>
    <t>Album Payment</t>
  </si>
  <si>
    <t>rent</t>
  </si>
  <si>
    <t>Taxi from dadar</t>
  </si>
  <si>
    <t>Pune Tempo Bhadu</t>
  </si>
  <si>
    <t>Malaysia Album</t>
  </si>
  <si>
    <t>Eco Friendly Ganesh Payment</t>
  </si>
  <si>
    <t>Bubble wrape</t>
  </si>
  <si>
    <t>chaa</t>
  </si>
  <si>
    <t>Paper cutting</t>
  </si>
  <si>
    <t>box</t>
  </si>
  <si>
    <t>Rajubhai box</t>
  </si>
  <si>
    <t>Depak bhai dadar year bill</t>
  </si>
  <si>
    <t>Gunvatbhai bottle bill</t>
  </si>
  <si>
    <t>Parthbhai vati</t>
  </si>
  <si>
    <t>Rent Cash</t>
  </si>
  <si>
    <t>Sadhan rent</t>
  </si>
  <si>
    <t>Gujarat Hamali</t>
  </si>
  <si>
    <t>Bharatbhai Vaz</t>
  </si>
  <si>
    <t>Khila + Rassi</t>
  </si>
  <si>
    <t>Talpatri</t>
  </si>
  <si>
    <t>Talpatri transperant</t>
  </si>
  <si>
    <t>Light Bill</t>
  </si>
  <si>
    <t>Rajubhai Matala Wada</t>
  </si>
  <si>
    <t>Mati -Mitul</t>
  </si>
  <si>
    <t>Chai</t>
  </si>
  <si>
    <t>Sharmaji Electric work</t>
  </si>
  <si>
    <t>Misc</t>
  </si>
  <si>
    <t>Chaa</t>
  </si>
  <si>
    <t>Paaper</t>
  </si>
  <si>
    <t>Cha Nasto</t>
  </si>
  <si>
    <t>Ghee</t>
  </si>
  <si>
    <t>Gathiya</t>
  </si>
  <si>
    <t>Axis MM</t>
  </si>
  <si>
    <t>RBL CC</t>
  </si>
  <si>
    <t>Axis Citi</t>
  </si>
  <si>
    <t>Remaining OS</t>
  </si>
  <si>
    <t>Source</t>
  </si>
  <si>
    <t>LIC</t>
  </si>
  <si>
    <t>IOB</t>
  </si>
  <si>
    <t>SBI NRO</t>
  </si>
  <si>
    <t>Account</t>
  </si>
  <si>
    <t>Addition</t>
  </si>
  <si>
    <t>Credit Card Payment</t>
  </si>
  <si>
    <t>Arun Personal</t>
  </si>
  <si>
    <t>Virar Tax</t>
  </si>
  <si>
    <t>Ved Trusha Fees</t>
  </si>
  <si>
    <t>School Fees</t>
  </si>
  <si>
    <t>SIP</t>
  </si>
  <si>
    <t>Marker</t>
  </si>
  <si>
    <t>Sajid Bhai</t>
  </si>
  <si>
    <t>Mul bhag</t>
  </si>
  <si>
    <t>Dharmesh Loab BT</t>
  </si>
  <si>
    <t>Karande</t>
  </si>
  <si>
    <t>LIC Balance</t>
  </si>
  <si>
    <t>SBI  Balance</t>
  </si>
  <si>
    <t>Yagnesh CC</t>
  </si>
  <si>
    <t xml:space="preserve">Processing fees </t>
  </si>
  <si>
    <t>Actual Payment</t>
  </si>
  <si>
    <t>Calc</t>
  </si>
  <si>
    <t>Phone Repair</t>
  </si>
  <si>
    <t>Colin</t>
  </si>
  <si>
    <t>Salimbhai</t>
  </si>
  <si>
    <t>bank</t>
  </si>
  <si>
    <t>Vicky bill</t>
  </si>
  <si>
    <t>Sadhana June 25 Rent</t>
  </si>
  <si>
    <t>bubble wrap</t>
  </si>
  <si>
    <t>Dahi</t>
  </si>
  <si>
    <t>cha nasto</t>
  </si>
  <si>
    <t>hukumpal singh</t>
  </si>
  <si>
    <t>transport</t>
  </si>
  <si>
    <t>Mati -Mahesh tank</t>
  </si>
  <si>
    <t>taxi- sajid bhai</t>
  </si>
  <si>
    <t>Glue and tap</t>
  </si>
  <si>
    <t xml:space="preserve">Sajid bhai </t>
  </si>
  <si>
    <t>x</t>
  </si>
  <si>
    <t>Matala Bill-Paresh Parmar</t>
  </si>
  <si>
    <t>Citi -Axis</t>
  </si>
  <si>
    <t>Credit card Repayment</t>
  </si>
  <si>
    <t>ALL CC</t>
  </si>
  <si>
    <t>Dharmesh New Loan</t>
  </si>
  <si>
    <t>HDFC_Axis</t>
  </si>
  <si>
    <t>After EMI</t>
  </si>
  <si>
    <t>Bathroom Accessories</t>
  </si>
  <si>
    <t>Deepak Bhai Dadar Bill</t>
  </si>
  <si>
    <t>udhar</t>
  </si>
  <si>
    <t>Lassi</t>
  </si>
  <si>
    <t>Rajubhai matala wada</t>
  </si>
  <si>
    <t>Sharmaji</t>
  </si>
  <si>
    <t>Jameelbhai</t>
  </si>
  <si>
    <t>Printer Paper</t>
  </si>
  <si>
    <t>Nall + Cement</t>
  </si>
  <si>
    <t>Chand Salary</t>
  </si>
  <si>
    <t xml:space="preserve">Ayan Salary </t>
  </si>
  <si>
    <t>Pottery wale bill</t>
  </si>
  <si>
    <t>T3 Bill to rakesh waghela</t>
  </si>
  <si>
    <t>Taxi for rupali</t>
  </si>
  <si>
    <t>Mati for Mahesh</t>
  </si>
  <si>
    <t>Hamali for Khurja</t>
  </si>
  <si>
    <t>Terracotta colour</t>
  </si>
  <si>
    <t>Box for Loti Packing</t>
  </si>
  <si>
    <t>paid</t>
  </si>
  <si>
    <t>Nitin Garba Advance</t>
  </si>
  <si>
    <t>Retun</t>
  </si>
  <si>
    <t>Customer</t>
  </si>
  <si>
    <t>iqbal website</t>
  </si>
  <si>
    <t>Website</t>
  </si>
  <si>
    <t>Taxi for Swastik park</t>
  </si>
  <si>
    <t>Manojbhai matala wada</t>
  </si>
  <si>
    <t xml:space="preserve">Dharmesh </t>
  </si>
  <si>
    <t>garba</t>
  </si>
  <si>
    <t>Home exepnese</t>
  </si>
  <si>
    <t>Nasto + chaa</t>
  </si>
  <si>
    <t xml:space="preserve">Dhara </t>
  </si>
  <si>
    <t>Ayaan salary</t>
  </si>
  <si>
    <t xml:space="preserve">Nal bandhawana </t>
  </si>
  <si>
    <t>Dhanna bhai Matala bill</t>
  </si>
  <si>
    <t>Manoj bhai Matala</t>
  </si>
  <si>
    <t>Haresh bhai than</t>
  </si>
  <si>
    <t>Vakeel saab</t>
  </si>
  <si>
    <t xml:space="preserve">Hukumpal </t>
  </si>
  <si>
    <t>Dhakana</t>
  </si>
  <si>
    <t>CEMENT</t>
  </si>
  <si>
    <t>SHOP</t>
  </si>
  <si>
    <t>shivling- chandu</t>
  </si>
  <si>
    <t>Papper Cutting</t>
  </si>
  <si>
    <t>Hamali paper cutting</t>
  </si>
  <si>
    <t>Iron wala</t>
  </si>
  <si>
    <t>home</t>
  </si>
  <si>
    <t>CHAA NASTO</t>
  </si>
  <si>
    <t>Customer return</t>
  </si>
  <si>
    <t>Bus</t>
  </si>
  <si>
    <t xml:space="preserve">Rent </t>
  </si>
  <si>
    <t>Chandu for garba</t>
  </si>
  <si>
    <t>Viral Jilla Bill</t>
  </si>
  <si>
    <t>Night nasta</t>
  </si>
  <si>
    <t>Rajukaka Mataka</t>
  </si>
  <si>
    <t>Total Sale</t>
  </si>
  <si>
    <t>01-Sept-25 to 30-Sept-25</t>
  </si>
  <si>
    <t>Oct 2025 Sale</t>
  </si>
  <si>
    <t>Diwali 2025(01-Sept-2025 to 22-Oct-2025)</t>
  </si>
  <si>
    <t>Oct 2025 Cash</t>
  </si>
  <si>
    <t>Oct 2025 Online</t>
  </si>
  <si>
    <t>Gold Loan Closure</t>
  </si>
  <si>
    <t>Sept 2025 Rent</t>
  </si>
  <si>
    <t>Oct 2025 Rent</t>
  </si>
  <si>
    <t>Sept Mul Bhag</t>
  </si>
  <si>
    <t>Oct Mul Bhag</t>
  </si>
  <si>
    <t>Chetan HDFC</t>
  </si>
  <si>
    <t>Chetan SIP</t>
  </si>
  <si>
    <t>IDFC</t>
  </si>
  <si>
    <t xml:space="preserve">Raju kaka </t>
  </si>
  <si>
    <t>Matala bandhavana</t>
  </si>
  <si>
    <t>Vakeel Saab</t>
  </si>
  <si>
    <t>Akash Potterywale</t>
  </si>
  <si>
    <t>Parth</t>
  </si>
  <si>
    <t>Dasrath</t>
  </si>
  <si>
    <t>Atul</t>
  </si>
  <si>
    <t>Silver</t>
  </si>
  <si>
    <t>tax + fees</t>
  </si>
  <si>
    <t>EMI - Nov25</t>
  </si>
  <si>
    <t>Sekaran Malaysia</t>
  </si>
  <si>
    <t>Grey Shade</t>
  </si>
  <si>
    <t>Dinner set</t>
  </si>
  <si>
    <t>Fitoor Plate</t>
  </si>
  <si>
    <t>Ambalal</t>
  </si>
  <si>
    <t>BOB Interest</t>
  </si>
  <si>
    <t>Virar</t>
  </si>
  <si>
    <t>Bob</t>
  </si>
  <si>
    <t>Daily Sales(01Nov to 30Nov)</t>
  </si>
  <si>
    <t>EMI Chart Ocotober 2025</t>
  </si>
  <si>
    <t>PAID</t>
  </si>
  <si>
    <t>HP</t>
  </si>
  <si>
    <t>Hareshbhai Than</t>
  </si>
  <si>
    <t>Pune</t>
  </si>
  <si>
    <t>Dukan Udhari</t>
  </si>
  <si>
    <t>Girish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</si>
</sst>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[$-14009]dddd\,\ d\ mmmm\,\ yyyy;@"/>
    <numFmt numFmtId="166" formatCode="[$-F800]dddd\,\ mmmm\ dd\,\ yyyy"/>
    <numFmt numFmtId="167" formatCode="mmmm/yyyy"/>
    <numFmt numFmtId="168" formatCode="_ &quot;₹&quot;\ * #,##0_ ;_ &quot;₹&quot;\ * \-#,##0_ ;_ &quot;₹&quot;\ * &quot;-&quot;??_ ;_ @_ "/>
    <numFmt numFmtId="169" formatCode="dd/mmm/yyyy"/>
    <numFmt numFmtId="170" formatCode="_ [$₹-4009]\ * #,##0_ ;_ [$₹-4009]\ * \-#,##0_ ;_ [$₹-4009]\ * &quot;-&quot;??_ ;_ @_ "/>
    <numFmt numFmtId="171" formatCode="_ &quot;₹&quot;\ * #,##0.0_ ;_ &quot;₹&quot;\ * \-#,##0.0_ ;_ &quot;₹&quot;\ * &quot;-&quot;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6">
    <xf numFmtId="0" fontId="0" fillId="0" borderId="0" xfId="0"/>
    <xf numFmtId="1" fontId="0" fillId="2" borderId="1" xfId="0" applyNumberFormat="1" applyFill="1" applyBorder="1" applyAlignment="1" applyProtection="1">
      <alignment horizontal="center" vertical="center" wrapText="1"/>
      <protection locked="0"/>
    </xf>
    <xf numFmtId="164" fontId="0" fillId="2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" fontId="3" fillId="2" borderId="3" xfId="0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5" fontId="0" fillId="0" borderId="3" xfId="0" applyNumberFormat="1" applyBorder="1" applyAlignment="1" applyProtection="1">
      <alignment horizontal="center" vertical="center"/>
      <protection locked="0"/>
    </xf>
    <xf numFmtId="164" fontId="0" fillId="0" borderId="3" xfId="1" applyNumberFormat="1" applyFont="1" applyBorder="1" applyAlignment="1" applyProtection="1">
      <alignment horizontal="center" vertical="center"/>
      <protection locked="0"/>
    </xf>
    <xf numFmtId="166" fontId="0" fillId="3" borderId="4" xfId="0" applyNumberForma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164" fontId="2" fillId="4" borderId="3" xfId="1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164" fontId="0" fillId="5" borderId="6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4" fontId="0" fillId="4" borderId="4" xfId="0" applyNumberFormat="1" applyFill="1" applyBorder="1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4" fontId="2" fillId="0" borderId="3" xfId="1" applyNumberFormat="1" applyFont="1" applyBorder="1" applyAlignment="1" applyProtection="1">
      <alignment horizontal="center" vertical="center"/>
      <protection locked="0"/>
    </xf>
    <xf numFmtId="168" fontId="0" fillId="0" borderId="3" xfId="2" applyNumberFormat="1" applyFont="1" applyBorder="1" applyAlignment="1" applyProtection="1">
      <alignment horizontal="center" vertical="center"/>
      <protection locked="0"/>
    </xf>
    <xf numFmtId="168" fontId="0" fillId="0" borderId="0" xfId="2" applyNumberFormat="1" applyFont="1"/>
    <xf numFmtId="168" fontId="0" fillId="5" borderId="6" xfId="2" applyNumberFormat="1" applyFont="1" applyFill="1" applyBorder="1" applyAlignment="1">
      <alignment horizontal="center" vertical="center"/>
    </xf>
    <xf numFmtId="165" fontId="0" fillId="0" borderId="0" xfId="0" applyNumberFormat="1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164" fontId="0" fillId="6" borderId="3" xfId="1" applyNumberFormat="1" applyFont="1" applyFill="1" applyBorder="1" applyAlignment="1" applyProtection="1">
      <alignment horizontal="center" vertical="center"/>
      <protection locked="0"/>
    </xf>
    <xf numFmtId="165" fontId="0" fillId="0" borderId="0" xfId="0" pivotButton="1" applyNumberFormat="1" applyAlignment="1" applyProtection="1">
      <alignment horizontal="center" vertical="center"/>
      <protection locked="0"/>
    </xf>
    <xf numFmtId="164" fontId="0" fillId="5" borderId="0" xfId="1" applyNumberFormat="1" applyFont="1" applyFill="1" applyBorder="1" applyAlignment="1">
      <alignment horizontal="center" vertical="center"/>
    </xf>
    <xf numFmtId="1" fontId="0" fillId="2" borderId="8" xfId="0" applyNumberFormat="1" applyFill="1" applyBorder="1" applyAlignment="1" applyProtection="1">
      <alignment horizontal="center" vertical="center" wrapText="1"/>
      <protection locked="0"/>
    </xf>
    <xf numFmtId="168" fontId="0" fillId="2" borderId="9" xfId="2" applyNumberFormat="1" applyFont="1" applyFill="1" applyBorder="1" applyAlignment="1" applyProtection="1">
      <alignment horizontal="center" vertical="center" wrapText="1"/>
      <protection locked="0"/>
    </xf>
    <xf numFmtId="164" fontId="0" fillId="2" borderId="9" xfId="1" applyNumberFormat="1" applyFont="1" applyFill="1" applyBorder="1" applyAlignment="1" applyProtection="1">
      <alignment horizontal="center" vertical="center" wrapText="1"/>
      <protection locked="0"/>
    </xf>
    <xf numFmtId="1" fontId="4" fillId="2" borderId="10" xfId="1" applyNumberFormat="1" applyFont="1" applyFill="1" applyBorder="1" applyAlignment="1" applyProtection="1">
      <alignment horizontal="center" vertical="center" wrapText="1"/>
      <protection locked="0"/>
    </xf>
    <xf numFmtId="165" fontId="0" fillId="0" borderId="11" xfId="0" applyNumberFormat="1" applyBorder="1" applyAlignment="1" applyProtection="1">
      <alignment horizontal="center" vertical="center"/>
      <protection locked="0"/>
    </xf>
    <xf numFmtId="1" fontId="2" fillId="0" borderId="12" xfId="1" applyNumberFormat="1" applyFont="1" applyBorder="1" applyAlignment="1" applyProtection="1">
      <alignment horizontal="center" vertical="center"/>
      <protection locked="0"/>
    </xf>
    <xf numFmtId="165" fontId="0" fillId="0" borderId="13" xfId="0" applyNumberFormat="1" applyBorder="1" applyAlignment="1" applyProtection="1">
      <alignment horizontal="center" vertical="center"/>
      <protection locked="0"/>
    </xf>
    <xf numFmtId="168" fontId="0" fillId="0" borderId="14" xfId="2" applyNumberFormat="1" applyFont="1" applyBorder="1" applyAlignment="1" applyProtection="1">
      <alignment horizontal="center" vertical="center"/>
      <protection locked="0"/>
    </xf>
    <xf numFmtId="164" fontId="2" fillId="0" borderId="14" xfId="1" applyNumberFormat="1" applyFont="1" applyBorder="1" applyAlignment="1" applyProtection="1">
      <alignment horizontal="center" vertical="center"/>
      <protection locked="0"/>
    </xf>
    <xf numFmtId="1" fontId="2" fillId="0" borderId="15" xfId="1" applyNumberFormat="1" applyFont="1" applyBorder="1" applyAlignment="1" applyProtection="1">
      <alignment horizontal="center" vertical="center"/>
      <protection locked="0"/>
    </xf>
    <xf numFmtId="164" fontId="3" fillId="2" borderId="7" xfId="1" applyNumberFormat="1" applyFont="1" applyFill="1" applyBorder="1" applyAlignment="1">
      <alignment horizontal="center" vertical="center" wrapText="1"/>
    </xf>
    <xf numFmtId="44" fontId="0" fillId="0" borderId="0" xfId="2" applyFont="1"/>
    <xf numFmtId="164" fontId="0" fillId="0" borderId="3" xfId="1" applyNumberFormat="1" applyFont="1" applyFill="1" applyBorder="1" applyAlignment="1" applyProtection="1">
      <alignment horizontal="center" vertical="center"/>
      <protection locked="0"/>
    </xf>
    <xf numFmtId="168" fontId="2" fillId="0" borderId="3" xfId="2" applyNumberFormat="1" applyFont="1" applyBorder="1" applyAlignment="1" applyProtection="1">
      <alignment horizontal="center" vertical="center"/>
      <protection locked="0"/>
    </xf>
    <xf numFmtId="1" fontId="0" fillId="0" borderId="3" xfId="1" applyNumberFormat="1" applyFont="1" applyBorder="1" applyAlignment="1" applyProtection="1">
      <alignment horizontal="center" vertical="center"/>
      <protection locked="0"/>
    </xf>
    <xf numFmtId="1" fontId="0" fillId="0" borderId="9" xfId="1" applyNumberFormat="1" applyFont="1" applyBorder="1" applyAlignment="1" applyProtection="1">
      <alignment horizontal="center" vertical="center"/>
      <protection locked="0"/>
    </xf>
    <xf numFmtId="1" fontId="0" fillId="0" borderId="14" xfId="1" applyNumberFormat="1" applyFont="1" applyBorder="1" applyAlignment="1" applyProtection="1">
      <alignment horizontal="center" vertical="center"/>
      <protection locked="0"/>
    </xf>
    <xf numFmtId="1" fontId="4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Fill="1"/>
    <xf numFmtId="169" fontId="0" fillId="0" borderId="0" xfId="0" applyNumberFormat="1"/>
    <xf numFmtId="0" fontId="0" fillId="0" borderId="3" xfId="0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8" fontId="0" fillId="0" borderId="3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0" borderId="18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168" fontId="0" fillId="0" borderId="3" xfId="0" applyNumberFormat="1" applyBorder="1"/>
    <xf numFmtId="169" fontId="0" fillId="0" borderId="3" xfId="0" applyNumberFormat="1" applyBorder="1"/>
    <xf numFmtId="0" fontId="3" fillId="9" borderId="3" xfId="0" applyFont="1" applyFill="1" applyBorder="1"/>
    <xf numFmtId="168" fontId="3" fillId="9" borderId="3" xfId="0" applyNumberFormat="1" applyFont="1" applyFill="1" applyBorder="1"/>
    <xf numFmtId="168" fontId="0" fillId="0" borderId="0" xfId="0" applyNumberFormat="1"/>
    <xf numFmtId="0" fontId="2" fillId="8" borderId="3" xfId="0" applyFont="1" applyFill="1" applyBorder="1" applyAlignment="1">
      <alignment horizontal="center" vertical="center"/>
    </xf>
    <xf numFmtId="168" fontId="0" fillId="0" borderId="3" xfId="2" applyNumberFormat="1" applyFont="1" applyBorder="1"/>
    <xf numFmtId="1" fontId="0" fillId="2" borderId="10" xfId="1" applyNumberFormat="1" applyFont="1" applyFill="1" applyBorder="1" applyAlignment="1" applyProtection="1">
      <alignment horizontal="center" vertical="center" wrapText="1"/>
      <protection locked="0"/>
    </xf>
    <xf numFmtId="0" fontId="2" fillId="7" borderId="0" xfId="0" applyFont="1" applyFill="1" applyAlignment="1">
      <alignment horizontal="center"/>
    </xf>
    <xf numFmtId="168" fontId="0" fillId="0" borderId="0" xfId="2" applyNumberFormat="1" applyFont="1" applyBorder="1" applyAlignment="1">
      <alignment horizontal="center" vertical="center"/>
    </xf>
    <xf numFmtId="0" fontId="0" fillId="0" borderId="3" xfId="0" applyBorder="1"/>
    <xf numFmtId="168" fontId="0" fillId="6" borderId="3" xfId="2" applyNumberFormat="1" applyFont="1" applyFill="1" applyBorder="1" applyAlignment="1">
      <alignment horizontal="center" vertical="center"/>
    </xf>
    <xf numFmtId="168" fontId="3" fillId="9" borderId="0" xfId="0" applyNumberFormat="1" applyFont="1" applyFill="1"/>
    <xf numFmtId="44" fontId="0" fillId="0" borderId="0" xfId="0" applyNumberFormat="1"/>
    <xf numFmtId="14" fontId="0" fillId="0" borderId="0" xfId="0" applyNumberFormat="1"/>
    <xf numFmtId="1" fontId="0" fillId="0" borderId="0" xfId="0" applyNumberFormat="1"/>
    <xf numFmtId="14" fontId="0" fillId="0" borderId="3" xfId="0" applyNumberFormat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17" fontId="0" fillId="0" borderId="11" xfId="0" applyNumberFormat="1" applyBorder="1"/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168" fontId="2" fillId="0" borderId="20" xfId="2" applyNumberFormat="1" applyFont="1" applyBorder="1" applyAlignment="1"/>
    <xf numFmtId="0" fontId="0" fillId="0" borderId="21" xfId="0" applyBorder="1"/>
    <xf numFmtId="0" fontId="2" fillId="8" borderId="22" xfId="0" applyFont="1" applyFill="1" applyBorder="1" applyAlignment="1">
      <alignment horizontal="center" vertical="center"/>
    </xf>
    <xf numFmtId="168" fontId="0" fillId="0" borderId="23" xfId="2" applyNumberFormat="1" applyFont="1" applyBorder="1" applyAlignment="1">
      <alignment horizontal="center" vertical="center"/>
    </xf>
    <xf numFmtId="168" fontId="0" fillId="0" borderId="3" xfId="2" applyNumberFormat="1" applyFont="1" applyFill="1" applyBorder="1"/>
    <xf numFmtId="168" fontId="0" fillId="0" borderId="2" xfId="2" applyNumberFormat="1" applyFont="1" applyFill="1" applyBorder="1" applyAlignment="1">
      <alignment horizontal="center" vertical="center"/>
    </xf>
    <xf numFmtId="170" fontId="0" fillId="0" borderId="3" xfId="0" applyNumberFormat="1" applyBorder="1" applyAlignment="1">
      <alignment horizontal="left" vertical="top"/>
    </xf>
    <xf numFmtId="169" fontId="0" fillId="0" borderId="3" xfId="0" applyNumberFormat="1" applyBorder="1" applyAlignment="1">
      <alignment horizontal="left" vertical="top"/>
    </xf>
    <xf numFmtId="168" fontId="3" fillId="9" borderId="12" xfId="0" applyNumberFormat="1" applyFont="1" applyFill="1" applyBorder="1"/>
    <xf numFmtId="168" fontId="0" fillId="6" borderId="0" xfId="0" applyNumberFormat="1" applyFill="1"/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3" xfId="0" applyBorder="1" applyAlignment="1">
      <alignment horizontal="left" vertical="top"/>
    </xf>
    <xf numFmtId="169" fontId="0" fillId="0" borderId="29" xfId="0" applyNumberFormat="1" applyBorder="1"/>
    <xf numFmtId="168" fontId="0" fillId="0" borderId="3" xfId="2" applyNumberFormat="1" applyFont="1" applyFill="1" applyBorder="1" applyAlignment="1">
      <alignment horizontal="center" vertical="center"/>
    </xf>
    <xf numFmtId="168" fontId="2" fillId="0" borderId="3" xfId="0" applyNumberFormat="1" applyFont="1" applyBorder="1"/>
    <xf numFmtId="168" fontId="0" fillId="0" borderId="2" xfId="2" applyNumberFormat="1" applyFont="1" applyBorder="1" applyAlignment="1">
      <alignment horizontal="center" vertical="center"/>
    </xf>
    <xf numFmtId="168" fontId="0" fillId="6" borderId="23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1" fontId="0" fillId="0" borderId="0" xfId="0" applyNumberFormat="1"/>
    <xf numFmtId="0" fontId="2" fillId="8" borderId="9" xfId="0" applyFont="1" applyFill="1" applyBorder="1" applyAlignment="1">
      <alignment horizontal="center" vertical="center"/>
    </xf>
    <xf numFmtId="168" fontId="0" fillId="0" borderId="0" xfId="2" applyNumberFormat="1" applyFont="1" applyFill="1" applyBorder="1" applyAlignment="1">
      <alignment horizontal="center" vertical="center"/>
    </xf>
    <xf numFmtId="168" fontId="2" fillId="0" borderId="0" xfId="2" applyNumberFormat="1" applyFont="1" applyBorder="1" applyAlignment="1"/>
    <xf numFmtId="0" fontId="0" fillId="0" borderId="0" xfId="0" applyAlignment="1">
      <alignment horizontal="center" vertical="center"/>
    </xf>
    <xf numFmtId="164" fontId="1" fillId="0" borderId="3" xfId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168" fontId="0" fillId="0" borderId="3" xfId="2" applyNumberFormat="1" applyFont="1" applyBorder="1" applyAlignment="1">
      <alignment vertical="center"/>
    </xf>
    <xf numFmtId="164" fontId="5" fillId="6" borderId="3" xfId="1" applyNumberFormat="1" applyFont="1" applyFill="1" applyBorder="1" applyAlignment="1" applyProtection="1">
      <alignment horizontal="center" vertical="center"/>
      <protection locked="0"/>
    </xf>
    <xf numFmtId="164" fontId="5" fillId="0" borderId="3" xfId="1" applyNumberFormat="1" applyFont="1" applyFill="1" applyBorder="1" applyAlignment="1" applyProtection="1">
      <alignment horizontal="center" vertical="center"/>
      <protection locked="0"/>
    </xf>
    <xf numFmtId="0" fontId="2" fillId="0" borderId="3" xfId="0" applyFont="1" applyBorder="1"/>
    <xf numFmtId="0" fontId="0" fillId="0" borderId="3" xfId="0" applyBorder="1" applyAlignment="1">
      <alignment vertical="center"/>
    </xf>
    <xf numFmtId="168" fontId="0" fillId="0" borderId="31" xfId="2" applyNumberFormat="1" applyFont="1" applyBorder="1"/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/>
    </xf>
    <xf numFmtId="168" fontId="2" fillId="0" borderId="3" xfId="2" applyNumberFormat="1" applyFont="1" applyBorder="1" applyAlignment="1">
      <alignment vertical="center"/>
    </xf>
    <xf numFmtId="169" fontId="0" fillId="0" borderId="0" xfId="0" applyNumberFormat="1" applyAlignment="1">
      <alignment horizontal="center" vertical="center"/>
    </xf>
    <xf numFmtId="171" fontId="0" fillId="0" borderId="3" xfId="0" applyNumberFormat="1" applyBorder="1"/>
    <xf numFmtId="168" fontId="0" fillId="0" borderId="14" xfId="0" applyNumberFormat="1" applyBorder="1"/>
    <xf numFmtId="169" fontId="0" fillId="0" borderId="14" xfId="0" applyNumberFormat="1" applyBorder="1"/>
    <xf numFmtId="168" fontId="5" fillId="0" borderId="18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8" fontId="3" fillId="9" borderId="12" xfId="0" applyNumberFormat="1" applyFont="1" applyFill="1" applyBorder="1" applyAlignment="1">
      <alignment horizontal="center"/>
    </xf>
    <xf numFmtId="168" fontId="3" fillId="9" borderId="11" xfId="0" applyNumberFormat="1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3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/>
      <protection locked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8" formatCode="_ &quot;₹&quot;\ * #,##0_ ;_ &quot;₹&quot;\ * \-#,##0_ ;_ &quot;₹&quot;\ * &quot;-&quot;??_ ;_ @_ "/>
      <alignment horizontal="center" vertical="center"/>
      <protection locked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wrapText="1"/>
    </dxf>
    <dxf>
      <alignment wrapText="1"/>
    </dxf>
    <dxf>
      <alignment wrapText="1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5" formatCode="[$-14009]dddd\,\ d\ mmmm\,\ yyyy;@"/>
      <alignment horizontal="center" vertical="center"/>
      <protection locked="0"/>
    </dxf>
    <dxf>
      <numFmt numFmtId="168" formatCode="_ &quot;₹&quot;\ * #,##0_ ;_ &quot;₹&quot;\ * \-#,##0_ ;_ &quot;₹&quot;\ * &quot;-&quot;??_ ;_ @_ "/>
      <alignment horizontal="center" vertical="center"/>
      <protection locked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E5AD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7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u, Dharmesh" id="{63147A88-509F-4EFF-BC22-841404BD3056}" userId="S::dharmesh.maru@capgemini.com::0b10252e-92cf-475f-b863-709aba8d040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860.855002546297" createdVersion="8" refreshedVersion="8" minRefreshableVersion="3" recordCount="219" xr:uid="{9C1E2CDB-1FA0-4DE4-B8F7-66365156FB94}">
  <cacheSource type="worksheet">
    <worksheetSource ref="A1:D1048576" sheet="April Expense"/>
  </cacheSource>
  <cacheFields count="4">
    <cacheField name="Date" numFmtId="0">
      <sharedItems containsDate="1" containsBlank="1" containsMixedTypes="1" minDate="2025-04-01T00:00:00" maxDate="2025-05-01T00:00:00" count="32"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m/>
        <s v="Total"/>
      </sharedItems>
    </cacheField>
    <cacheField name="Cash" numFmtId="168">
      <sharedItems containsString="0" containsBlank="1" containsNumber="1" containsInteger="1" minValue="30" maxValue="50000"/>
    </cacheField>
    <cacheField name="Account Transfer" numFmtId="168">
      <sharedItems containsString="0" containsBlank="1" containsNumber="1" containsInteger="1" minValue="120" maxValue="60000"/>
    </cacheField>
    <cacheField name="Total" numFmtId="168">
      <sharedItems containsString="0" containsBlank="1" containsNumber="1" containsInteger="1" minValue="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860.855002893521" createdVersion="8" refreshedVersion="8" minRefreshableVersion="3" recordCount="77" xr:uid="{D888FF6E-2356-4ECF-9715-A910E4928611}">
  <cacheSource type="worksheet">
    <worksheetSource ref="A1:D1048576" sheet="March Expense"/>
  </cacheSource>
  <cacheFields count="4">
    <cacheField name="Date" numFmtId="0">
      <sharedItems containsDate="1" containsBlank="1" containsMixedTypes="1" minDate="2025-03-01T00:00:00" maxDate="2025-04-01T00:00:00" count="30">
        <d v="2025-03-01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m/>
        <s v="Total"/>
      </sharedItems>
    </cacheField>
    <cacheField name="Cash" numFmtId="168">
      <sharedItems containsString="0" containsBlank="1" containsNumber="1" containsInteger="1" minValue="65" maxValue="50000"/>
    </cacheField>
    <cacheField name="Account Transfer" numFmtId="168">
      <sharedItems containsString="0" containsBlank="1" containsNumber="1" containsInteger="1" minValue="100" maxValue="96047"/>
    </cacheField>
    <cacheField name="Total" numFmtId="168">
      <sharedItems containsString="0" containsBlank="1" containsNumber="1" containsInteger="1" minValue="0" maxValue="960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860.855003009259" createdVersion="8" refreshedVersion="8" minRefreshableVersion="3" recordCount="223" xr:uid="{033E9EE9-23FD-49B5-A5C5-2D5E4AEEF52F}">
  <cacheSource type="worksheet">
    <worksheetSource ref="A1:D1048576" sheet="May Expense"/>
  </cacheSource>
  <cacheFields count="4">
    <cacheField name="Date" numFmtId="0">
      <sharedItems containsNonDate="0" containsDate="1" containsString="0" containsBlank="1" minDate="2025-05-01T00:00:00" maxDate="2025-06-01T00:00:00" count="32"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8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m/>
      </sharedItems>
    </cacheField>
    <cacheField name="Cash" numFmtId="168">
      <sharedItems containsString="0" containsBlank="1" containsNumber="1" containsInteger="1" minValue="30" maxValue="50000"/>
    </cacheField>
    <cacheField name="Account Transfer" numFmtId="168">
      <sharedItems containsString="0" containsBlank="1" containsNumber="1" containsInteger="1" minValue="200" maxValue="60000"/>
    </cacheField>
    <cacheField name="Total" numFmtId="168">
      <sharedItems containsString="0" containsBlank="1" containsNumber="1" containsInteger="1" minValue="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860.855003240744" createdVersion="8" refreshedVersion="8" minRefreshableVersion="3" recordCount="224" xr:uid="{4D9C0131-A350-409D-A0B6-893734D9E2A5}">
  <cacheSource type="worksheet">
    <worksheetSource ref="A1:D1048576" sheet="June Expense"/>
  </cacheSource>
  <cacheFields count="4">
    <cacheField name="Date" numFmtId="0">
      <sharedItems containsNonDate="0" containsDate="1" containsString="0" containsBlank="1" minDate="2025-06-01T00:00:00" maxDate="2025-07-01T00:00:00" count="31">
        <d v="2025-06-01T00:00:00"/>
        <d v="2025-06-02T00:00:00"/>
        <d v="2025-06-03T00:00:00"/>
        <d v="2025-06-04T00:00:00"/>
        <d v="2025-06-06T00:00:00"/>
        <d v="2025-06-05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m/>
      </sharedItems>
    </cacheField>
    <cacheField name="Cash" numFmtId="168">
      <sharedItems containsString="0" containsBlank="1" containsNumber="1" containsInteger="1" minValue="20" maxValue="50000"/>
    </cacheField>
    <cacheField name="Account Transfer" numFmtId="168">
      <sharedItems containsString="0" containsBlank="1" containsNumber="1" containsInteger="1" minValue="130" maxValue="60000"/>
    </cacheField>
    <cacheField name="Total" numFmtId="168">
      <sharedItems containsString="0" containsBlank="1" containsNumber="1" containsInteger="1" minValue="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869.842530092596" createdVersion="8" refreshedVersion="8" minRefreshableVersion="3" recordCount="228" xr:uid="{DCF87720-2363-4511-8D64-290680EDC8AA}">
  <cacheSource type="worksheet">
    <worksheetSource ref="A1:D1048576" sheet="July Expense"/>
  </cacheSource>
  <cacheFields count="4">
    <cacheField name="Date" numFmtId="0">
      <sharedItems containsNonDate="0" containsDate="1" containsString="0" containsBlank="1" minDate="2025-07-01T00:00:00" maxDate="2025-08-01T00:00:00" count="32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m/>
      </sharedItems>
    </cacheField>
    <cacheField name="Cash" numFmtId="168">
      <sharedItems containsString="0" containsBlank="1" containsNumber="1" containsInteger="1" minValue="20" maxValue="15000"/>
    </cacheField>
    <cacheField name="Account Transfer" numFmtId="168">
      <sharedItems containsString="0" containsBlank="1" containsNumber="1" containsInteger="1" minValue="200" maxValue="60000"/>
    </cacheField>
    <cacheField name="Total" numFmtId="168">
      <sharedItems containsString="0" containsBlank="1" containsNumber="1" containsInteger="1" minValue="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906.989661342595" createdVersion="8" refreshedVersion="8" minRefreshableVersion="3" recordCount="228" xr:uid="{B0DED3C5-C8A3-4DFA-B3DA-C2EA21825930}">
  <cacheSource type="worksheet">
    <worksheetSource ref="A1:D1048576" sheet="Aug Expense"/>
  </cacheSource>
  <cacheFields count="4">
    <cacheField name="Date" numFmtId="0">
      <sharedItems containsNonDate="0" containsDate="1" containsString="0" containsBlank="1" minDate="2025-08-01T00:00:00" maxDate="2025-08-26T00:00:00" count="26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m/>
      </sharedItems>
    </cacheField>
    <cacheField name="Cash" numFmtId="168">
      <sharedItems containsString="0" containsBlank="1" containsNumber="1" containsInteger="1" minValue="30" maxValue="72610"/>
    </cacheField>
    <cacheField name="Account Transfer" numFmtId="168">
      <sharedItems containsString="0" containsBlank="1" containsNumber="1" containsInteger="1" minValue="360" maxValue="60000"/>
    </cacheField>
    <cacheField name="Total" numFmtId="168">
      <sharedItems containsString="0" containsBlank="1" containsNumber="1" containsInteger="1" minValue="0" maxValue="72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932.807515393521" createdVersion="8" refreshedVersion="8" minRefreshableVersion="3" recordCount="228" xr:uid="{2C81EB68-0C6C-41BA-906D-90E8104FCE81}">
  <cacheSource type="worksheet">
    <worksheetSource ref="A1:D1048576" sheet="Sept Expense"/>
  </cacheSource>
  <cacheFields count="4">
    <cacheField name="Date" numFmtId="0">
      <sharedItems containsNonDate="0" containsDate="1" containsString="0" containsBlank="1" minDate="2025-09-01T00:00:00" maxDate="2025-09-02T00:00:00" count="2">
        <d v="2025-09-01T00:00:00"/>
        <m/>
      </sharedItems>
    </cacheField>
    <cacheField name="Cash" numFmtId="168">
      <sharedItems containsNonDate="0" containsString="0" containsBlank="1"/>
    </cacheField>
    <cacheField name="Account Transfer" numFmtId="168">
      <sharedItems containsNonDate="0" containsString="0" containsBlank="1"/>
    </cacheField>
    <cacheField name="Total" numFmtId="168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932.807959953701" createdVersion="8" refreshedVersion="8" minRefreshableVersion="3" recordCount="228" xr:uid="{69435FD7-E945-4569-A9C8-87DE209399F2}">
  <cacheSource type="worksheet">
    <worksheetSource ref="A1:D1048576" sheet="Oct Expense"/>
  </cacheSource>
  <cacheFields count="4">
    <cacheField name="Date" numFmtId="0">
      <sharedItems containsNonDate="0" containsDate="1" containsString="0" containsBlank="1" minDate="2025-10-01T00:00:00" maxDate="2025-10-02T00:00:00" count="2">
        <d v="2025-10-01T00:00:00"/>
        <m/>
      </sharedItems>
    </cacheField>
    <cacheField name="Cash" numFmtId="168">
      <sharedItems containsNonDate="0" containsString="0" containsBlank="1"/>
    </cacheField>
    <cacheField name="Account Transfer" numFmtId="168">
      <sharedItems containsNonDate="0" containsString="0" containsBlank="1"/>
    </cacheField>
    <cacheField name="Total" numFmtId="168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n v="250"/>
    <m/>
    <n v="250"/>
  </r>
  <r>
    <x v="0"/>
    <n v="100"/>
    <m/>
    <n v="100"/>
  </r>
  <r>
    <x v="0"/>
    <m/>
    <n v="200"/>
    <n v="200"/>
  </r>
  <r>
    <x v="0"/>
    <m/>
    <n v="750"/>
    <n v="750"/>
  </r>
  <r>
    <x v="0"/>
    <m/>
    <n v="350"/>
    <n v="350"/>
  </r>
  <r>
    <x v="0"/>
    <m/>
    <n v="1100"/>
    <n v="1100"/>
  </r>
  <r>
    <x v="1"/>
    <n v="1000"/>
    <m/>
    <n v="1000"/>
  </r>
  <r>
    <x v="1"/>
    <n v="120"/>
    <m/>
    <n v="120"/>
  </r>
  <r>
    <x v="1"/>
    <n v="30"/>
    <m/>
    <n v="30"/>
  </r>
  <r>
    <x v="1"/>
    <n v="520"/>
    <m/>
    <n v="520"/>
  </r>
  <r>
    <x v="1"/>
    <n v="250"/>
    <m/>
    <n v="250"/>
  </r>
  <r>
    <x v="1"/>
    <n v="150"/>
    <m/>
    <n v="150"/>
  </r>
  <r>
    <x v="1"/>
    <n v="90"/>
    <m/>
    <n v="90"/>
  </r>
  <r>
    <x v="2"/>
    <n v="30"/>
    <m/>
    <n v="30"/>
  </r>
  <r>
    <x v="2"/>
    <n v="120"/>
    <m/>
    <n v="120"/>
  </r>
  <r>
    <x v="2"/>
    <n v="120"/>
    <m/>
    <n v="120"/>
  </r>
  <r>
    <x v="3"/>
    <n v="600"/>
    <m/>
    <n v="600"/>
  </r>
  <r>
    <x v="3"/>
    <n v="160"/>
    <m/>
    <n v="160"/>
  </r>
  <r>
    <x v="3"/>
    <n v="550"/>
    <m/>
    <n v="550"/>
  </r>
  <r>
    <x v="3"/>
    <m/>
    <n v="300"/>
    <n v="300"/>
  </r>
  <r>
    <x v="3"/>
    <n v="260"/>
    <m/>
    <n v="260"/>
  </r>
  <r>
    <x v="4"/>
    <n v="200"/>
    <m/>
    <n v="200"/>
  </r>
  <r>
    <x v="4"/>
    <n v="130"/>
    <m/>
    <n v="130"/>
  </r>
  <r>
    <x v="4"/>
    <n v="200"/>
    <m/>
    <n v="200"/>
  </r>
  <r>
    <x v="4"/>
    <n v="70"/>
    <m/>
    <n v="70"/>
  </r>
  <r>
    <x v="4"/>
    <n v="1300"/>
    <m/>
    <n v="1300"/>
  </r>
  <r>
    <x v="5"/>
    <n v="300"/>
    <m/>
    <n v="300"/>
  </r>
  <r>
    <x v="5"/>
    <n v="165"/>
    <m/>
    <n v="165"/>
  </r>
  <r>
    <x v="5"/>
    <n v="80"/>
    <m/>
    <n v="80"/>
  </r>
  <r>
    <x v="5"/>
    <n v="220"/>
    <m/>
    <n v="220"/>
  </r>
  <r>
    <x v="5"/>
    <n v="150"/>
    <m/>
    <n v="150"/>
  </r>
  <r>
    <x v="5"/>
    <n v="150"/>
    <m/>
    <n v="150"/>
  </r>
  <r>
    <x v="5"/>
    <m/>
    <n v="350"/>
    <n v="350"/>
  </r>
  <r>
    <x v="5"/>
    <m/>
    <n v="700"/>
    <n v="700"/>
  </r>
  <r>
    <x v="6"/>
    <n v="400"/>
    <m/>
    <n v="400"/>
  </r>
  <r>
    <x v="6"/>
    <n v="120"/>
    <m/>
    <n v="120"/>
  </r>
  <r>
    <x v="7"/>
    <n v="1750"/>
    <m/>
    <n v="1750"/>
  </r>
  <r>
    <x v="7"/>
    <n v="130"/>
    <m/>
    <n v="130"/>
  </r>
  <r>
    <x v="7"/>
    <n v="1500"/>
    <m/>
    <n v="1500"/>
  </r>
  <r>
    <x v="7"/>
    <n v="1500"/>
    <m/>
    <n v="1500"/>
  </r>
  <r>
    <x v="8"/>
    <n v="150"/>
    <m/>
    <n v="150"/>
  </r>
  <r>
    <x v="8"/>
    <n v="100"/>
    <m/>
    <n v="100"/>
  </r>
  <r>
    <x v="9"/>
    <n v="1000"/>
    <m/>
    <n v="1000"/>
  </r>
  <r>
    <x v="9"/>
    <n v="300"/>
    <m/>
    <n v="300"/>
  </r>
  <r>
    <x v="9"/>
    <n v="60"/>
    <m/>
    <n v="60"/>
  </r>
  <r>
    <x v="10"/>
    <n v="1000"/>
    <m/>
    <n v="1000"/>
  </r>
  <r>
    <x v="10"/>
    <n v="60"/>
    <m/>
    <n v="60"/>
  </r>
  <r>
    <x v="11"/>
    <n v="1000"/>
    <m/>
    <n v="1000"/>
  </r>
  <r>
    <x v="11"/>
    <n v="110"/>
    <m/>
    <n v="110"/>
  </r>
  <r>
    <x v="12"/>
    <n v="600"/>
    <m/>
    <n v="600"/>
  </r>
  <r>
    <x v="12"/>
    <n v="60"/>
    <m/>
    <n v="60"/>
  </r>
  <r>
    <x v="12"/>
    <n v="440"/>
    <m/>
    <n v="440"/>
  </r>
  <r>
    <x v="13"/>
    <n v="1700"/>
    <m/>
    <n v="1700"/>
  </r>
  <r>
    <x v="13"/>
    <n v="250"/>
    <m/>
    <n v="250"/>
  </r>
  <r>
    <x v="13"/>
    <n v="90"/>
    <m/>
    <n v="90"/>
  </r>
  <r>
    <x v="13"/>
    <n v="100"/>
    <m/>
    <n v="100"/>
  </r>
  <r>
    <x v="14"/>
    <n v="1000"/>
    <m/>
    <n v="1000"/>
  </r>
  <r>
    <x v="14"/>
    <n v="100"/>
    <m/>
    <n v="100"/>
  </r>
  <r>
    <x v="14"/>
    <m/>
    <n v="120"/>
    <n v="120"/>
  </r>
  <r>
    <x v="15"/>
    <m/>
    <n v="7279"/>
    <n v="7279"/>
  </r>
  <r>
    <x v="15"/>
    <n v="300"/>
    <m/>
    <n v="300"/>
  </r>
  <r>
    <x v="15"/>
    <n v="100"/>
    <m/>
    <n v="100"/>
  </r>
  <r>
    <x v="16"/>
    <m/>
    <n v="5100"/>
    <n v="5100"/>
  </r>
  <r>
    <x v="16"/>
    <n v="500"/>
    <m/>
    <n v="500"/>
  </r>
  <r>
    <x v="16"/>
    <n v="600"/>
    <m/>
    <n v="600"/>
  </r>
  <r>
    <x v="16"/>
    <n v="30"/>
    <m/>
    <n v="30"/>
  </r>
  <r>
    <x v="16"/>
    <m/>
    <n v="1100"/>
    <n v="1100"/>
  </r>
  <r>
    <x v="17"/>
    <n v="120"/>
    <m/>
    <n v="120"/>
  </r>
  <r>
    <x v="17"/>
    <n v="1000"/>
    <m/>
    <n v="1000"/>
  </r>
  <r>
    <x v="17"/>
    <n v="500"/>
    <m/>
    <n v="500"/>
  </r>
  <r>
    <x v="17"/>
    <m/>
    <n v="150"/>
    <n v="150"/>
  </r>
  <r>
    <x v="17"/>
    <m/>
    <n v="1000"/>
    <n v="1000"/>
  </r>
  <r>
    <x v="17"/>
    <m/>
    <n v="500"/>
    <n v="500"/>
  </r>
  <r>
    <x v="18"/>
    <n v="50"/>
    <m/>
    <n v="50"/>
  </r>
  <r>
    <x v="18"/>
    <n v="60"/>
    <m/>
    <n v="60"/>
  </r>
  <r>
    <x v="19"/>
    <n v="280"/>
    <m/>
    <n v="280"/>
  </r>
  <r>
    <x v="19"/>
    <n v="100"/>
    <m/>
    <n v="100"/>
  </r>
  <r>
    <x v="19"/>
    <n v="80"/>
    <m/>
    <n v="80"/>
  </r>
  <r>
    <x v="19"/>
    <n v="200"/>
    <m/>
    <n v="200"/>
  </r>
  <r>
    <x v="19"/>
    <m/>
    <n v="11188"/>
    <n v="11188"/>
  </r>
  <r>
    <x v="19"/>
    <n v="300"/>
    <m/>
    <n v="300"/>
  </r>
  <r>
    <x v="19"/>
    <m/>
    <n v="25000"/>
    <n v="25000"/>
  </r>
  <r>
    <x v="19"/>
    <m/>
    <n v="60000"/>
    <n v="60000"/>
  </r>
  <r>
    <x v="19"/>
    <n v="50000"/>
    <m/>
    <n v="50000"/>
  </r>
  <r>
    <x v="20"/>
    <m/>
    <n v="20000"/>
    <n v="20000"/>
  </r>
  <r>
    <x v="20"/>
    <n v="200"/>
    <m/>
    <n v="200"/>
  </r>
  <r>
    <x v="20"/>
    <n v="150"/>
    <m/>
    <n v="150"/>
  </r>
  <r>
    <x v="21"/>
    <n v="40"/>
    <m/>
    <n v="40"/>
  </r>
  <r>
    <x v="21"/>
    <n v="90"/>
    <m/>
    <n v="90"/>
  </r>
  <r>
    <x v="21"/>
    <n v="880"/>
    <m/>
    <n v="880"/>
  </r>
  <r>
    <x v="22"/>
    <n v="100"/>
    <m/>
    <n v="100"/>
  </r>
  <r>
    <x v="22"/>
    <n v="140"/>
    <m/>
    <n v="140"/>
  </r>
  <r>
    <x v="22"/>
    <n v="120"/>
    <m/>
    <n v="120"/>
  </r>
  <r>
    <x v="22"/>
    <n v="1000"/>
    <m/>
    <n v="1000"/>
  </r>
  <r>
    <x v="22"/>
    <m/>
    <n v="1500"/>
    <n v="1500"/>
  </r>
  <r>
    <x v="22"/>
    <m/>
    <n v="47000"/>
    <n v="47000"/>
  </r>
  <r>
    <x v="22"/>
    <m/>
    <n v="5000"/>
    <n v="5000"/>
  </r>
  <r>
    <x v="22"/>
    <m/>
    <n v="3000"/>
    <n v="3000"/>
  </r>
  <r>
    <x v="22"/>
    <n v="550"/>
    <m/>
    <n v="550"/>
  </r>
  <r>
    <x v="23"/>
    <n v="150"/>
    <m/>
    <n v="150"/>
  </r>
  <r>
    <x v="23"/>
    <m/>
    <n v="500"/>
    <n v="500"/>
  </r>
  <r>
    <x v="23"/>
    <m/>
    <n v="1500"/>
    <n v="1500"/>
  </r>
  <r>
    <x v="24"/>
    <n v="500"/>
    <m/>
    <n v="500"/>
  </r>
  <r>
    <x v="24"/>
    <n v="2000"/>
    <m/>
    <n v="2000"/>
  </r>
  <r>
    <x v="24"/>
    <n v="120"/>
    <m/>
    <n v="120"/>
  </r>
  <r>
    <x v="24"/>
    <n v="500"/>
    <m/>
    <n v="500"/>
  </r>
  <r>
    <x v="25"/>
    <m/>
    <n v="3000"/>
    <n v="3000"/>
  </r>
  <r>
    <x v="25"/>
    <n v="1000"/>
    <m/>
    <n v="1000"/>
  </r>
  <r>
    <x v="25"/>
    <n v="1000"/>
    <m/>
    <n v="1000"/>
  </r>
  <r>
    <x v="25"/>
    <n v="300"/>
    <m/>
    <n v="300"/>
  </r>
  <r>
    <x v="25"/>
    <n v="100"/>
    <m/>
    <n v="100"/>
  </r>
  <r>
    <x v="25"/>
    <n v="100"/>
    <m/>
    <n v="100"/>
  </r>
  <r>
    <x v="25"/>
    <n v="1000"/>
    <m/>
    <n v="1000"/>
  </r>
  <r>
    <x v="26"/>
    <n v="540"/>
    <m/>
    <n v="540"/>
  </r>
  <r>
    <x v="26"/>
    <n v="90"/>
    <m/>
    <n v="90"/>
  </r>
  <r>
    <x v="26"/>
    <m/>
    <n v="10000"/>
    <n v="10000"/>
  </r>
  <r>
    <x v="27"/>
    <n v="90"/>
    <m/>
    <n v="90"/>
  </r>
  <r>
    <x v="28"/>
    <n v="500"/>
    <m/>
    <n v="500"/>
  </r>
  <r>
    <x v="28"/>
    <m/>
    <n v="1500"/>
    <n v="1500"/>
  </r>
  <r>
    <x v="28"/>
    <m/>
    <n v="7000"/>
    <n v="7000"/>
  </r>
  <r>
    <x v="28"/>
    <n v="1000"/>
    <m/>
    <n v="1000"/>
  </r>
  <r>
    <x v="28"/>
    <n v="1000"/>
    <m/>
    <n v="1000"/>
  </r>
  <r>
    <x v="29"/>
    <n v="200"/>
    <m/>
    <n v="200"/>
  </r>
  <r>
    <x v="29"/>
    <n v="80"/>
    <m/>
    <n v="80"/>
  </r>
  <r>
    <x v="29"/>
    <n v="100"/>
    <m/>
    <n v="100"/>
  </r>
  <r>
    <x v="29"/>
    <n v="200"/>
    <m/>
    <n v="20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1"/>
    <m/>
    <m/>
    <m/>
  </r>
  <r>
    <x v="3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2000"/>
    <m/>
    <n v="2000"/>
  </r>
  <r>
    <x v="0"/>
    <n v="500"/>
    <m/>
    <n v="500"/>
  </r>
  <r>
    <x v="0"/>
    <m/>
    <n v="451"/>
    <n v="451"/>
  </r>
  <r>
    <x v="1"/>
    <n v="820"/>
    <m/>
    <n v="820"/>
  </r>
  <r>
    <x v="1"/>
    <n v="65"/>
    <m/>
    <n v="65"/>
  </r>
  <r>
    <x v="2"/>
    <n v="2500"/>
    <m/>
    <n v="2500"/>
  </r>
  <r>
    <x v="2"/>
    <n v="100"/>
    <m/>
    <n v="100"/>
  </r>
  <r>
    <x v="3"/>
    <m/>
    <n v="470"/>
    <n v="470"/>
  </r>
  <r>
    <x v="3"/>
    <m/>
    <n v="800"/>
    <n v="800"/>
  </r>
  <r>
    <x v="3"/>
    <n v="100"/>
    <m/>
    <n v="100"/>
  </r>
  <r>
    <x v="4"/>
    <n v="10000"/>
    <m/>
    <n v="10000"/>
  </r>
  <r>
    <x v="4"/>
    <n v="8000"/>
    <m/>
    <n v="8000"/>
  </r>
  <r>
    <x v="4"/>
    <n v="2300"/>
    <m/>
    <n v="2300"/>
  </r>
  <r>
    <x v="5"/>
    <n v="700"/>
    <m/>
    <n v="700"/>
  </r>
  <r>
    <x v="5"/>
    <m/>
    <n v="300"/>
    <n v="300"/>
  </r>
  <r>
    <x v="6"/>
    <n v="200"/>
    <m/>
    <n v="200"/>
  </r>
  <r>
    <x v="7"/>
    <n v="200"/>
    <m/>
    <n v="200"/>
  </r>
  <r>
    <x v="7"/>
    <m/>
    <n v="880"/>
    <n v="880"/>
  </r>
  <r>
    <x v="8"/>
    <m/>
    <n v="10000"/>
    <n v="10000"/>
  </r>
  <r>
    <x v="9"/>
    <n v="400"/>
    <m/>
    <n v="400"/>
  </r>
  <r>
    <x v="9"/>
    <m/>
    <n v="300"/>
    <n v="300"/>
  </r>
  <r>
    <x v="10"/>
    <n v="300"/>
    <m/>
    <n v="300"/>
  </r>
  <r>
    <x v="11"/>
    <m/>
    <n v="1000"/>
    <n v="1000"/>
  </r>
  <r>
    <x v="12"/>
    <n v="300"/>
    <m/>
    <n v="300"/>
  </r>
  <r>
    <x v="12"/>
    <m/>
    <n v="20000"/>
    <n v="20000"/>
  </r>
  <r>
    <x v="13"/>
    <m/>
    <n v="7600"/>
    <n v="7600"/>
  </r>
  <r>
    <x v="13"/>
    <n v="200"/>
    <m/>
    <n v="200"/>
  </r>
  <r>
    <x v="14"/>
    <m/>
    <n v="1500"/>
    <n v="1500"/>
  </r>
  <r>
    <x v="14"/>
    <n v="100"/>
    <m/>
    <n v="100"/>
  </r>
  <r>
    <x v="14"/>
    <n v="90"/>
    <m/>
    <n v="90"/>
  </r>
  <r>
    <x v="14"/>
    <m/>
    <n v="200"/>
    <n v="200"/>
  </r>
  <r>
    <x v="15"/>
    <n v="1000"/>
    <m/>
    <n v="1000"/>
  </r>
  <r>
    <x v="15"/>
    <n v="3300"/>
    <m/>
    <n v="3300"/>
  </r>
  <r>
    <x v="16"/>
    <n v="400"/>
    <m/>
    <n v="400"/>
  </r>
  <r>
    <x v="16"/>
    <n v="260"/>
    <m/>
    <n v="260"/>
  </r>
  <r>
    <x v="16"/>
    <n v="1000"/>
    <m/>
    <n v="1000"/>
  </r>
  <r>
    <x v="17"/>
    <n v="100"/>
    <m/>
    <n v="100"/>
  </r>
  <r>
    <x v="17"/>
    <m/>
    <n v="60000"/>
    <n v="60000"/>
  </r>
  <r>
    <x v="17"/>
    <m/>
    <n v="20000"/>
    <n v="20000"/>
  </r>
  <r>
    <x v="18"/>
    <n v="1500"/>
    <m/>
    <n v="1500"/>
  </r>
  <r>
    <x v="18"/>
    <n v="50000"/>
    <m/>
    <n v="50000"/>
  </r>
  <r>
    <x v="18"/>
    <m/>
    <n v="10000"/>
    <n v="10000"/>
  </r>
  <r>
    <x v="18"/>
    <m/>
    <n v="7000"/>
    <n v="7000"/>
  </r>
  <r>
    <x v="19"/>
    <n v="1000"/>
    <m/>
    <n v="1000"/>
  </r>
  <r>
    <x v="19"/>
    <n v="200"/>
    <m/>
    <n v="200"/>
  </r>
  <r>
    <x v="19"/>
    <n v="1000"/>
    <m/>
    <n v="1000"/>
  </r>
  <r>
    <x v="19"/>
    <m/>
    <n v="100"/>
    <n v="100"/>
  </r>
  <r>
    <x v="19"/>
    <m/>
    <n v="1500"/>
    <n v="1500"/>
  </r>
  <r>
    <x v="20"/>
    <n v="400"/>
    <m/>
    <n v="400"/>
  </r>
  <r>
    <x v="20"/>
    <n v="260"/>
    <m/>
    <n v="260"/>
  </r>
  <r>
    <x v="21"/>
    <m/>
    <n v="2467"/>
    <n v="2467"/>
  </r>
  <r>
    <x v="22"/>
    <m/>
    <n v="5500"/>
    <n v="5500"/>
  </r>
  <r>
    <x v="22"/>
    <m/>
    <n v="6000"/>
    <n v="6000"/>
  </r>
  <r>
    <x v="22"/>
    <m/>
    <n v="5000"/>
    <n v="5000"/>
  </r>
  <r>
    <x v="22"/>
    <m/>
    <n v="5000"/>
    <n v="5000"/>
  </r>
  <r>
    <x v="23"/>
    <m/>
    <n v="96047"/>
    <n v="96047"/>
  </r>
  <r>
    <x v="24"/>
    <m/>
    <n v="10000"/>
    <n v="10000"/>
  </r>
  <r>
    <x v="24"/>
    <m/>
    <n v="13500"/>
    <n v="13500"/>
  </r>
  <r>
    <x v="24"/>
    <m/>
    <n v="11000"/>
    <n v="11000"/>
  </r>
  <r>
    <x v="24"/>
    <m/>
    <n v="24000"/>
    <n v="24000"/>
  </r>
  <r>
    <x v="24"/>
    <m/>
    <n v="19673"/>
    <n v="19673"/>
  </r>
  <r>
    <x v="24"/>
    <m/>
    <n v="7500"/>
    <n v="7500"/>
  </r>
  <r>
    <x v="24"/>
    <m/>
    <n v="9400"/>
    <n v="9400"/>
  </r>
  <r>
    <x v="24"/>
    <m/>
    <n v="25000"/>
    <n v="25000"/>
  </r>
  <r>
    <x v="25"/>
    <n v="100"/>
    <m/>
    <n v="100"/>
  </r>
  <r>
    <x v="25"/>
    <n v="700"/>
    <m/>
    <n v="700"/>
  </r>
  <r>
    <x v="25"/>
    <n v="500"/>
    <m/>
    <n v="500"/>
  </r>
  <r>
    <x v="26"/>
    <n v="450"/>
    <m/>
    <n v="450"/>
  </r>
  <r>
    <x v="26"/>
    <n v="2400"/>
    <m/>
    <n v="2400"/>
  </r>
  <r>
    <x v="26"/>
    <m/>
    <n v="1500"/>
    <n v="1500"/>
  </r>
  <r>
    <x v="27"/>
    <n v="2200"/>
    <m/>
    <n v="2200"/>
  </r>
  <r>
    <x v="27"/>
    <m/>
    <n v="1500"/>
    <n v="1500"/>
  </r>
  <r>
    <x v="27"/>
    <n v="500"/>
    <m/>
    <n v="500"/>
  </r>
  <r>
    <x v="27"/>
    <m/>
    <n v="1000"/>
    <n v="1000"/>
  </r>
  <r>
    <x v="28"/>
    <m/>
    <m/>
    <n v="0"/>
  </r>
  <r>
    <x v="29"/>
    <m/>
    <m/>
    <m/>
  </r>
  <r>
    <x v="28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x v="0"/>
    <m/>
    <n v="1750"/>
    <n v="1750"/>
  </r>
  <r>
    <x v="0"/>
    <m/>
    <n v="7160"/>
    <n v="7160"/>
  </r>
  <r>
    <x v="0"/>
    <m/>
    <n v="890"/>
    <n v="890"/>
  </r>
  <r>
    <x v="0"/>
    <m/>
    <n v="1000"/>
    <n v="1000"/>
  </r>
  <r>
    <x v="0"/>
    <n v="400"/>
    <m/>
    <n v="350"/>
  </r>
  <r>
    <x v="0"/>
    <n v="90"/>
    <m/>
    <n v="1100"/>
  </r>
  <r>
    <x v="0"/>
    <m/>
    <n v="430"/>
    <n v="1000"/>
  </r>
  <r>
    <x v="0"/>
    <m/>
    <n v="2000"/>
    <n v="120"/>
  </r>
  <r>
    <x v="1"/>
    <n v="110"/>
    <m/>
    <n v="110"/>
  </r>
  <r>
    <x v="1"/>
    <n v="120"/>
    <m/>
    <n v="120"/>
  </r>
  <r>
    <x v="1"/>
    <m/>
    <n v="1650"/>
    <n v="1650"/>
  </r>
  <r>
    <x v="2"/>
    <n v="1700"/>
    <m/>
    <n v="1700"/>
  </r>
  <r>
    <x v="2"/>
    <n v="150"/>
    <m/>
    <n v="150"/>
  </r>
  <r>
    <x v="2"/>
    <n v="150"/>
    <m/>
    <n v="150"/>
  </r>
  <r>
    <x v="2"/>
    <n v="3000"/>
    <m/>
    <n v="3000"/>
  </r>
  <r>
    <x v="3"/>
    <n v="4950"/>
    <m/>
    <n v="4950"/>
  </r>
  <r>
    <x v="3"/>
    <n v="120"/>
    <m/>
    <n v="120"/>
  </r>
  <r>
    <x v="3"/>
    <n v="500"/>
    <m/>
    <n v="500"/>
  </r>
  <r>
    <x v="3"/>
    <n v="1000"/>
    <m/>
    <n v="1000"/>
  </r>
  <r>
    <x v="3"/>
    <m/>
    <n v="200"/>
    <n v="200"/>
  </r>
  <r>
    <x v="4"/>
    <n v="150"/>
    <m/>
    <n v="150"/>
  </r>
  <r>
    <x v="4"/>
    <n v="1000"/>
    <m/>
    <n v="1000"/>
  </r>
  <r>
    <x v="4"/>
    <n v="90"/>
    <m/>
    <n v="90"/>
  </r>
  <r>
    <x v="4"/>
    <n v="70"/>
    <m/>
    <n v="70"/>
  </r>
  <r>
    <x v="4"/>
    <n v="400"/>
    <m/>
    <n v="400"/>
  </r>
  <r>
    <x v="4"/>
    <n v="750"/>
    <m/>
    <n v="750"/>
  </r>
  <r>
    <x v="5"/>
    <n v="300"/>
    <m/>
    <n v="300"/>
  </r>
  <r>
    <x v="5"/>
    <n v="120"/>
    <m/>
    <n v="120"/>
  </r>
  <r>
    <x v="6"/>
    <n v="2650"/>
    <m/>
    <n v="2650"/>
  </r>
  <r>
    <x v="6"/>
    <n v="120"/>
    <m/>
    <n v="120"/>
  </r>
  <r>
    <x v="7"/>
    <n v="550"/>
    <m/>
    <n v="550"/>
  </r>
  <r>
    <x v="7"/>
    <n v="100"/>
    <m/>
    <n v="100"/>
  </r>
  <r>
    <x v="7"/>
    <n v="400"/>
    <m/>
    <n v="400"/>
  </r>
  <r>
    <x v="7"/>
    <n v="120"/>
    <m/>
    <n v="120"/>
  </r>
  <r>
    <x v="8"/>
    <n v="800"/>
    <m/>
    <n v="800"/>
  </r>
  <r>
    <x v="8"/>
    <n v="120"/>
    <m/>
    <n v="120"/>
  </r>
  <r>
    <x v="8"/>
    <m/>
    <n v="1250"/>
    <n v="1250"/>
  </r>
  <r>
    <x v="8"/>
    <n v="4000"/>
    <m/>
    <n v="4000"/>
  </r>
  <r>
    <x v="8"/>
    <m/>
    <n v="2000"/>
    <n v="2000"/>
  </r>
  <r>
    <x v="8"/>
    <m/>
    <n v="34633"/>
    <n v="34633"/>
  </r>
  <r>
    <x v="8"/>
    <m/>
    <n v="2360"/>
    <n v="2360"/>
  </r>
  <r>
    <x v="8"/>
    <n v="1200"/>
    <m/>
    <n v="1200"/>
  </r>
  <r>
    <x v="8"/>
    <n v="2000"/>
    <m/>
    <n v="2000"/>
  </r>
  <r>
    <x v="9"/>
    <n v="870"/>
    <m/>
    <n v="870"/>
  </r>
  <r>
    <x v="9"/>
    <n v="750"/>
    <m/>
    <n v="750"/>
  </r>
  <r>
    <x v="9"/>
    <n v="60"/>
    <m/>
    <n v="60"/>
  </r>
  <r>
    <x v="9"/>
    <n v="1000"/>
    <m/>
    <n v="1000"/>
  </r>
  <r>
    <x v="9"/>
    <m/>
    <n v="3000"/>
    <n v="3000"/>
  </r>
  <r>
    <x v="10"/>
    <n v="1450"/>
    <m/>
    <n v="1450"/>
  </r>
  <r>
    <x v="10"/>
    <n v="750"/>
    <m/>
    <n v="750"/>
  </r>
  <r>
    <x v="10"/>
    <n v="700"/>
    <m/>
    <n v="700"/>
  </r>
  <r>
    <x v="10"/>
    <n v="60"/>
    <m/>
    <n v="60"/>
  </r>
  <r>
    <x v="10"/>
    <n v="1000"/>
    <m/>
    <n v="1000"/>
  </r>
  <r>
    <x v="10"/>
    <n v="1700"/>
    <m/>
    <n v="1700"/>
  </r>
  <r>
    <x v="11"/>
    <n v="6920"/>
    <m/>
    <n v="6920"/>
  </r>
  <r>
    <x v="11"/>
    <n v="1000"/>
    <m/>
    <n v="1000"/>
  </r>
  <r>
    <x v="11"/>
    <n v="150"/>
    <m/>
    <n v="150"/>
  </r>
  <r>
    <x v="11"/>
    <m/>
    <n v="25000"/>
    <n v="25000"/>
  </r>
  <r>
    <x v="12"/>
    <n v="120"/>
    <m/>
    <n v="120"/>
  </r>
  <r>
    <x v="12"/>
    <m/>
    <n v="13390"/>
    <n v="13390"/>
  </r>
  <r>
    <x v="13"/>
    <n v="1000"/>
    <m/>
    <n v="1000"/>
  </r>
  <r>
    <x v="13"/>
    <n v="90"/>
    <m/>
    <n v="90"/>
  </r>
  <r>
    <x v="13"/>
    <n v="500"/>
    <m/>
    <n v="500"/>
  </r>
  <r>
    <x v="13"/>
    <n v="100"/>
    <m/>
    <n v="100"/>
  </r>
  <r>
    <x v="13"/>
    <m/>
    <n v="10000"/>
    <n v="10000"/>
  </r>
  <r>
    <x v="14"/>
    <n v="2000"/>
    <m/>
    <n v="2000"/>
  </r>
  <r>
    <x v="14"/>
    <n v="100"/>
    <m/>
    <n v="100"/>
  </r>
  <r>
    <x v="14"/>
    <n v="530"/>
    <m/>
    <n v="530"/>
  </r>
  <r>
    <x v="14"/>
    <n v="6500"/>
    <m/>
    <n v="6500"/>
  </r>
  <r>
    <x v="14"/>
    <m/>
    <n v="10000"/>
    <n v="10000"/>
  </r>
  <r>
    <x v="14"/>
    <m/>
    <n v="13520"/>
    <n v="13520"/>
  </r>
  <r>
    <x v="15"/>
    <n v="500"/>
    <m/>
    <n v="500"/>
  </r>
  <r>
    <x v="15"/>
    <n v="35"/>
    <m/>
    <n v="35"/>
  </r>
  <r>
    <x v="15"/>
    <n v="100"/>
    <m/>
    <n v="100"/>
  </r>
  <r>
    <x v="15"/>
    <n v="120"/>
    <m/>
    <n v="120"/>
  </r>
  <r>
    <x v="15"/>
    <m/>
    <n v="950"/>
    <n v="950"/>
  </r>
  <r>
    <x v="15"/>
    <n v="1600"/>
    <m/>
    <n v="1600"/>
  </r>
  <r>
    <x v="15"/>
    <n v="1200"/>
    <m/>
    <n v="1200"/>
  </r>
  <r>
    <x v="15"/>
    <n v="2000"/>
    <m/>
    <n v="2000"/>
  </r>
  <r>
    <x v="15"/>
    <n v="90"/>
    <m/>
    <n v="90"/>
  </r>
  <r>
    <x v="16"/>
    <n v="300"/>
    <m/>
    <n v="300"/>
  </r>
  <r>
    <x v="16"/>
    <n v="30"/>
    <m/>
    <n v="30"/>
  </r>
  <r>
    <x v="16"/>
    <n v="90"/>
    <m/>
    <n v="90"/>
  </r>
  <r>
    <x v="16"/>
    <n v="1000"/>
    <m/>
    <n v="1000"/>
  </r>
  <r>
    <x v="16"/>
    <m/>
    <n v="2500"/>
    <n v="2500"/>
  </r>
  <r>
    <x v="17"/>
    <m/>
    <n v="500"/>
    <n v="500"/>
  </r>
  <r>
    <x v="17"/>
    <n v="150"/>
    <m/>
    <n v="150"/>
  </r>
  <r>
    <x v="17"/>
    <m/>
    <n v="400"/>
    <n v="400"/>
  </r>
  <r>
    <x v="17"/>
    <n v="1000"/>
    <m/>
    <n v="1000"/>
  </r>
  <r>
    <x v="17"/>
    <n v="1000"/>
    <m/>
    <n v="1000"/>
  </r>
  <r>
    <x v="16"/>
    <n v="300"/>
    <m/>
    <n v="300"/>
  </r>
  <r>
    <x v="16"/>
    <n v="130"/>
    <m/>
    <n v="130"/>
  </r>
  <r>
    <x v="16"/>
    <n v="1000"/>
    <m/>
    <n v="1000"/>
  </r>
  <r>
    <x v="16"/>
    <m/>
    <n v="8000"/>
    <n v="8000"/>
  </r>
  <r>
    <x v="16"/>
    <m/>
    <n v="2500"/>
    <n v="2500"/>
  </r>
  <r>
    <x v="16"/>
    <m/>
    <n v="30000"/>
    <n v="30000"/>
  </r>
  <r>
    <x v="18"/>
    <m/>
    <n v="380"/>
    <n v="380"/>
  </r>
  <r>
    <x v="18"/>
    <n v="380"/>
    <m/>
    <n v="380"/>
  </r>
  <r>
    <x v="18"/>
    <n v="300"/>
    <m/>
    <n v="300"/>
  </r>
  <r>
    <x v="19"/>
    <n v="200"/>
    <m/>
    <n v="200"/>
  </r>
  <r>
    <x v="19"/>
    <n v="200"/>
    <m/>
    <n v="200"/>
  </r>
  <r>
    <x v="19"/>
    <n v="1000"/>
    <m/>
    <n v="1000"/>
  </r>
  <r>
    <x v="19"/>
    <n v="100"/>
    <m/>
    <n v="100"/>
  </r>
  <r>
    <x v="19"/>
    <n v="380"/>
    <m/>
    <n v="380"/>
  </r>
  <r>
    <x v="19"/>
    <n v="50"/>
    <m/>
    <n v="50"/>
  </r>
  <r>
    <x v="19"/>
    <n v="100"/>
    <m/>
    <n v="100"/>
  </r>
  <r>
    <x v="19"/>
    <n v="120"/>
    <m/>
    <n v="120"/>
  </r>
  <r>
    <x v="19"/>
    <m/>
    <n v="60000"/>
    <n v="60000"/>
  </r>
  <r>
    <x v="20"/>
    <n v="2000"/>
    <m/>
    <n v="2000"/>
  </r>
  <r>
    <x v="20"/>
    <n v="380"/>
    <m/>
    <n v="380"/>
  </r>
  <r>
    <x v="20"/>
    <n v="500"/>
    <m/>
    <n v="500"/>
  </r>
  <r>
    <x v="20"/>
    <n v="1000"/>
    <m/>
    <n v="1000"/>
  </r>
  <r>
    <x v="20"/>
    <m/>
    <n v="5500"/>
    <n v="5500"/>
  </r>
  <r>
    <x v="20"/>
    <m/>
    <n v="900"/>
    <n v="900"/>
  </r>
  <r>
    <x v="21"/>
    <m/>
    <n v="30000"/>
    <n v="30000"/>
  </r>
  <r>
    <x v="21"/>
    <m/>
    <n v="11000"/>
    <n v="11000"/>
  </r>
  <r>
    <x v="21"/>
    <m/>
    <n v="26000"/>
    <n v="26000"/>
  </r>
  <r>
    <x v="21"/>
    <m/>
    <n v="7000"/>
    <n v="7000"/>
  </r>
  <r>
    <x v="21"/>
    <n v="50000"/>
    <m/>
    <n v="50000"/>
  </r>
  <r>
    <x v="21"/>
    <n v="430"/>
    <m/>
    <n v="430"/>
  </r>
  <r>
    <x v="21"/>
    <n v="100"/>
    <m/>
    <n v="100"/>
  </r>
  <r>
    <x v="21"/>
    <n v="650"/>
    <m/>
    <n v="650"/>
  </r>
  <r>
    <x v="21"/>
    <n v="100"/>
    <m/>
    <n v="100"/>
  </r>
  <r>
    <x v="22"/>
    <n v="500"/>
    <m/>
    <n v="500"/>
  </r>
  <r>
    <x v="22"/>
    <n v="120"/>
    <m/>
    <n v="120"/>
  </r>
  <r>
    <x v="22"/>
    <n v="1000"/>
    <m/>
    <n v="1000"/>
  </r>
  <r>
    <x v="22"/>
    <n v="500"/>
    <m/>
    <n v="500"/>
  </r>
  <r>
    <x v="23"/>
    <n v="1500"/>
    <m/>
    <n v="1500"/>
  </r>
  <r>
    <x v="23"/>
    <n v="750"/>
    <m/>
    <n v="750"/>
  </r>
  <r>
    <x v="23"/>
    <n v="150"/>
    <m/>
    <n v="150"/>
  </r>
  <r>
    <x v="23"/>
    <n v="1000"/>
    <m/>
    <n v="1000"/>
  </r>
  <r>
    <x v="24"/>
    <n v="300"/>
    <m/>
    <n v="300"/>
  </r>
  <r>
    <x v="24"/>
    <n v="100"/>
    <m/>
    <n v="100"/>
  </r>
  <r>
    <x v="24"/>
    <m/>
    <n v="700"/>
    <n v="700"/>
  </r>
  <r>
    <x v="24"/>
    <n v="200"/>
    <m/>
    <n v="200"/>
  </r>
  <r>
    <x v="24"/>
    <m/>
    <n v="360"/>
    <n v="360"/>
  </r>
  <r>
    <x v="25"/>
    <n v="7500"/>
    <m/>
    <n v="7500"/>
  </r>
  <r>
    <x v="25"/>
    <m/>
    <n v="1000"/>
    <n v="1000"/>
  </r>
  <r>
    <x v="25"/>
    <n v="120"/>
    <m/>
    <n v="120"/>
  </r>
  <r>
    <x v="25"/>
    <n v="100"/>
    <m/>
    <n v="100"/>
  </r>
  <r>
    <x v="26"/>
    <n v="400"/>
    <m/>
    <n v="400"/>
  </r>
  <r>
    <x v="26"/>
    <n v="125"/>
    <m/>
    <n v="125"/>
  </r>
  <r>
    <x v="26"/>
    <n v="70"/>
    <m/>
    <n v="70"/>
  </r>
  <r>
    <x v="26"/>
    <n v="120"/>
    <m/>
    <n v="120"/>
  </r>
  <r>
    <x v="26"/>
    <n v="1000"/>
    <m/>
    <n v="1000"/>
  </r>
  <r>
    <x v="26"/>
    <m/>
    <n v="3200"/>
    <n v="3200"/>
  </r>
  <r>
    <x v="27"/>
    <n v="750"/>
    <m/>
    <n v="750"/>
  </r>
  <r>
    <x v="27"/>
    <n v="1000"/>
    <m/>
    <n v="1000"/>
  </r>
  <r>
    <x v="27"/>
    <n v="150"/>
    <m/>
    <n v="150"/>
  </r>
  <r>
    <x v="27"/>
    <n v="1000"/>
    <m/>
    <n v="1000"/>
  </r>
  <r>
    <x v="27"/>
    <n v="100"/>
    <m/>
    <n v="100"/>
  </r>
  <r>
    <x v="27"/>
    <m/>
    <n v="250"/>
    <n v="250"/>
  </r>
  <r>
    <x v="28"/>
    <n v="110"/>
    <m/>
    <n v="110"/>
  </r>
  <r>
    <x v="28"/>
    <n v="1000"/>
    <m/>
    <n v="1000"/>
  </r>
  <r>
    <x v="28"/>
    <n v="3200"/>
    <m/>
    <n v="3200"/>
  </r>
  <r>
    <x v="29"/>
    <n v="380"/>
    <m/>
    <n v="380"/>
  </r>
  <r>
    <x v="29"/>
    <n v="100"/>
    <m/>
    <n v="100"/>
  </r>
  <r>
    <x v="29"/>
    <n v="1000"/>
    <m/>
    <n v="1000"/>
  </r>
  <r>
    <x v="29"/>
    <n v="1000"/>
    <m/>
    <n v="1000"/>
  </r>
  <r>
    <x v="29"/>
    <n v="100"/>
    <m/>
    <n v="100"/>
  </r>
  <r>
    <x v="30"/>
    <n v="350"/>
    <m/>
    <n v="350"/>
  </r>
  <r>
    <x v="30"/>
    <n v="500"/>
    <m/>
    <n v="500"/>
  </r>
  <r>
    <x v="30"/>
    <m/>
    <n v="230"/>
    <n v="230"/>
  </r>
  <r>
    <x v="30"/>
    <n v="90"/>
    <m/>
    <n v="90"/>
  </r>
  <r>
    <x v="30"/>
    <n v="1000"/>
    <m/>
    <n v="100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m/>
    <n v="3000"/>
    <n v="3000"/>
  </r>
  <r>
    <x v="0"/>
    <n v="500"/>
    <m/>
    <n v="500"/>
  </r>
  <r>
    <x v="0"/>
    <n v="90"/>
    <m/>
    <n v="90"/>
  </r>
  <r>
    <x v="0"/>
    <m/>
    <n v="5000"/>
    <n v="750"/>
  </r>
  <r>
    <x v="0"/>
    <n v="621"/>
    <m/>
    <n v="350"/>
  </r>
  <r>
    <x v="0"/>
    <m/>
    <n v="130"/>
    <n v="130"/>
  </r>
  <r>
    <x v="1"/>
    <n v="720"/>
    <m/>
    <n v="720"/>
  </r>
  <r>
    <x v="1"/>
    <n v="70"/>
    <m/>
    <n v="70"/>
  </r>
  <r>
    <x v="1"/>
    <n v="450"/>
    <m/>
    <n v="450"/>
  </r>
  <r>
    <x v="1"/>
    <n v="5000"/>
    <m/>
    <n v="5000"/>
  </r>
  <r>
    <x v="1"/>
    <n v="3000"/>
    <m/>
    <n v="3000"/>
  </r>
  <r>
    <x v="1"/>
    <m/>
    <n v="2000"/>
    <n v="2000"/>
  </r>
  <r>
    <x v="2"/>
    <n v="50"/>
    <m/>
    <n v="50"/>
  </r>
  <r>
    <x v="2"/>
    <n v="3000"/>
    <m/>
    <n v="3000"/>
  </r>
  <r>
    <x v="2"/>
    <n v="2000"/>
    <m/>
    <n v="2000"/>
  </r>
  <r>
    <x v="2"/>
    <n v="270"/>
    <m/>
    <n v="270"/>
  </r>
  <r>
    <x v="2"/>
    <m/>
    <n v="1150"/>
    <n v="1150"/>
  </r>
  <r>
    <x v="2"/>
    <n v="7400"/>
    <m/>
    <n v="7400"/>
  </r>
  <r>
    <x v="3"/>
    <n v="120"/>
    <m/>
    <n v="120"/>
  </r>
  <r>
    <x v="3"/>
    <n v="100"/>
    <m/>
    <n v="100"/>
  </r>
  <r>
    <x v="3"/>
    <n v="70"/>
    <m/>
    <n v="70"/>
  </r>
  <r>
    <x v="3"/>
    <n v="50"/>
    <m/>
    <n v="50"/>
  </r>
  <r>
    <x v="4"/>
    <n v="200"/>
    <m/>
    <n v="200"/>
  </r>
  <r>
    <x v="4"/>
    <n v="1000"/>
    <m/>
    <n v="1000"/>
  </r>
  <r>
    <x v="4"/>
    <n v="150"/>
    <m/>
    <n v="150"/>
  </r>
  <r>
    <x v="4"/>
    <n v="2000"/>
    <m/>
    <n v="2000"/>
  </r>
  <r>
    <x v="4"/>
    <n v="2000"/>
    <m/>
    <n v="2000"/>
  </r>
  <r>
    <x v="4"/>
    <n v="2000"/>
    <m/>
    <n v="2000"/>
  </r>
  <r>
    <x v="4"/>
    <n v="3000"/>
    <m/>
    <n v="3000"/>
  </r>
  <r>
    <x v="5"/>
    <n v="500"/>
    <m/>
    <n v="500"/>
  </r>
  <r>
    <x v="5"/>
    <n v="1000"/>
    <m/>
    <n v="1000"/>
  </r>
  <r>
    <x v="5"/>
    <n v="20"/>
    <m/>
    <n v="20"/>
  </r>
  <r>
    <x v="5"/>
    <n v="120"/>
    <m/>
    <n v="120"/>
  </r>
  <r>
    <x v="6"/>
    <n v="1000"/>
    <m/>
    <n v="1000"/>
  </r>
  <r>
    <x v="6"/>
    <n v="300"/>
    <m/>
    <n v="300"/>
  </r>
  <r>
    <x v="7"/>
    <n v="1000"/>
    <m/>
    <n v="1000"/>
  </r>
  <r>
    <x v="7"/>
    <n v="60"/>
    <m/>
    <n v="60"/>
  </r>
  <r>
    <x v="8"/>
    <n v="250"/>
    <m/>
    <n v="250"/>
  </r>
  <r>
    <x v="8"/>
    <n v="1000"/>
    <m/>
    <n v="1000"/>
  </r>
  <r>
    <x v="8"/>
    <n v="110"/>
    <m/>
    <n v="110"/>
  </r>
  <r>
    <x v="9"/>
    <m/>
    <n v="1000"/>
    <n v="1000"/>
  </r>
  <r>
    <x v="9"/>
    <n v="2000"/>
    <m/>
    <n v="2000"/>
  </r>
  <r>
    <x v="9"/>
    <n v="200"/>
    <m/>
    <n v="200"/>
  </r>
  <r>
    <x v="9"/>
    <n v="120"/>
    <m/>
    <n v="120"/>
  </r>
  <r>
    <x v="9"/>
    <n v="120"/>
    <m/>
    <n v="120"/>
  </r>
  <r>
    <x v="10"/>
    <n v="1000"/>
    <m/>
    <n v="1000"/>
  </r>
  <r>
    <x v="10"/>
    <n v="50"/>
    <m/>
    <n v="50"/>
  </r>
  <r>
    <x v="10"/>
    <n v="120"/>
    <m/>
    <n v="120"/>
  </r>
  <r>
    <x v="10"/>
    <n v="100"/>
    <m/>
    <n v="100"/>
  </r>
  <r>
    <x v="11"/>
    <n v="40"/>
    <m/>
    <n v="40"/>
  </r>
  <r>
    <x v="11"/>
    <n v="1000"/>
    <m/>
    <n v="1000"/>
  </r>
  <r>
    <x v="11"/>
    <n v="90"/>
    <m/>
    <n v="90"/>
  </r>
  <r>
    <x v="12"/>
    <n v="20"/>
    <m/>
    <n v="20"/>
  </r>
  <r>
    <x v="12"/>
    <n v="1000"/>
    <m/>
    <n v="1000"/>
  </r>
  <r>
    <x v="12"/>
    <n v="90"/>
    <m/>
    <n v="90"/>
  </r>
  <r>
    <x v="13"/>
    <n v="120"/>
    <m/>
    <n v="120"/>
  </r>
  <r>
    <x v="13"/>
    <n v="50"/>
    <m/>
    <n v="50"/>
  </r>
  <r>
    <x v="13"/>
    <n v="60"/>
    <m/>
    <n v="60"/>
  </r>
  <r>
    <x v="13"/>
    <n v="1250"/>
    <m/>
    <n v="1250"/>
  </r>
  <r>
    <x v="13"/>
    <n v="3000"/>
    <m/>
    <n v="3000"/>
  </r>
  <r>
    <x v="12"/>
    <n v="7000"/>
    <m/>
    <n v="7000"/>
  </r>
  <r>
    <x v="14"/>
    <n v="75"/>
    <m/>
    <n v="75"/>
  </r>
  <r>
    <x v="14"/>
    <n v="200"/>
    <m/>
    <n v="200"/>
  </r>
  <r>
    <x v="14"/>
    <n v="120"/>
    <m/>
    <n v="120"/>
  </r>
  <r>
    <x v="15"/>
    <n v="100"/>
    <m/>
    <n v="100"/>
  </r>
  <r>
    <x v="15"/>
    <n v="100"/>
    <m/>
    <n v="100"/>
  </r>
  <r>
    <x v="16"/>
    <n v="10000"/>
    <m/>
    <n v="10000"/>
  </r>
  <r>
    <x v="16"/>
    <n v="200"/>
    <m/>
    <n v="200"/>
  </r>
  <r>
    <x v="16"/>
    <n v="500"/>
    <m/>
    <n v="500"/>
  </r>
  <r>
    <x v="16"/>
    <n v="650"/>
    <m/>
    <n v="650"/>
  </r>
  <r>
    <x v="16"/>
    <n v="90"/>
    <m/>
    <n v="90"/>
  </r>
  <r>
    <x v="17"/>
    <n v="100"/>
    <m/>
    <n v="100"/>
  </r>
  <r>
    <x v="17"/>
    <n v="90"/>
    <m/>
    <n v="90"/>
  </r>
  <r>
    <x v="17"/>
    <n v="600"/>
    <m/>
    <n v="600"/>
  </r>
  <r>
    <x v="17"/>
    <n v="500"/>
    <m/>
    <n v="500"/>
  </r>
  <r>
    <x v="17"/>
    <n v="90"/>
    <m/>
    <n v="90"/>
  </r>
  <r>
    <x v="17"/>
    <n v="1000"/>
    <m/>
    <n v="1000"/>
  </r>
  <r>
    <x v="18"/>
    <n v="500"/>
    <m/>
    <n v="500"/>
  </r>
  <r>
    <x v="18"/>
    <n v="90"/>
    <m/>
    <n v="90"/>
  </r>
  <r>
    <x v="18"/>
    <m/>
    <n v="5000"/>
    <n v="5000"/>
  </r>
  <r>
    <x v="19"/>
    <m/>
    <n v="60000"/>
    <n v="60000"/>
  </r>
  <r>
    <x v="19"/>
    <n v="500"/>
    <m/>
    <n v="500"/>
  </r>
  <r>
    <x v="19"/>
    <n v="90"/>
    <m/>
    <n v="90"/>
  </r>
  <r>
    <x v="19"/>
    <n v="150"/>
    <m/>
    <n v="150"/>
  </r>
  <r>
    <x v="20"/>
    <n v="60"/>
    <m/>
    <n v="60"/>
  </r>
  <r>
    <x v="20"/>
    <n v="20"/>
    <m/>
    <n v="20"/>
  </r>
  <r>
    <x v="21"/>
    <n v="230"/>
    <m/>
    <n v="230"/>
  </r>
  <r>
    <x v="21"/>
    <n v="60"/>
    <m/>
    <n v="60"/>
  </r>
  <r>
    <x v="21"/>
    <n v="50"/>
    <m/>
    <n v="50"/>
  </r>
  <r>
    <x v="22"/>
    <n v="380"/>
    <m/>
    <n v="380"/>
  </r>
  <r>
    <x v="22"/>
    <n v="50"/>
    <m/>
    <n v="50"/>
  </r>
  <r>
    <x v="22"/>
    <n v="140"/>
    <m/>
    <n v="140"/>
  </r>
  <r>
    <x v="22"/>
    <m/>
    <n v="200"/>
    <n v="200"/>
  </r>
  <r>
    <x v="22"/>
    <m/>
    <n v="11890"/>
    <n v="11890"/>
  </r>
  <r>
    <x v="23"/>
    <n v="3000"/>
    <m/>
    <n v="3000"/>
  </r>
  <r>
    <x v="23"/>
    <n v="500"/>
    <m/>
    <n v="500"/>
  </r>
  <r>
    <x v="23"/>
    <n v="140"/>
    <m/>
    <n v="140"/>
  </r>
  <r>
    <x v="23"/>
    <n v="500"/>
    <m/>
    <n v="500"/>
  </r>
  <r>
    <x v="23"/>
    <n v="50000"/>
    <m/>
    <n v="50000"/>
  </r>
  <r>
    <x v="23"/>
    <m/>
    <n v="18600"/>
    <n v="18600"/>
  </r>
  <r>
    <x v="24"/>
    <n v="1000"/>
    <m/>
    <n v="1000"/>
  </r>
  <r>
    <x v="24"/>
    <n v="110"/>
    <m/>
    <n v="110"/>
  </r>
  <r>
    <x v="25"/>
    <n v="100"/>
    <m/>
    <n v="100"/>
  </r>
  <r>
    <x v="25"/>
    <n v="1000"/>
    <m/>
    <n v="1000"/>
  </r>
  <r>
    <x v="25"/>
    <n v="150"/>
    <m/>
    <n v="150"/>
  </r>
  <r>
    <x v="26"/>
    <n v="1000"/>
    <m/>
    <n v="1000"/>
  </r>
  <r>
    <x v="26"/>
    <n v="120"/>
    <m/>
    <n v="120"/>
  </r>
  <r>
    <x v="26"/>
    <n v="1000"/>
    <m/>
    <n v="1000"/>
  </r>
  <r>
    <x v="26"/>
    <n v="20000"/>
    <m/>
    <n v="20000"/>
  </r>
  <r>
    <x v="27"/>
    <n v="6000"/>
    <m/>
    <n v="6000"/>
  </r>
  <r>
    <x v="27"/>
    <n v="1000"/>
    <m/>
    <n v="1000"/>
  </r>
  <r>
    <x v="27"/>
    <n v="120"/>
    <m/>
    <n v="120"/>
  </r>
  <r>
    <x v="28"/>
    <n v="280"/>
    <m/>
    <n v="280"/>
  </r>
  <r>
    <x v="28"/>
    <n v="1000"/>
    <m/>
    <n v="1000"/>
  </r>
  <r>
    <x v="28"/>
    <n v="90"/>
    <m/>
    <n v="90"/>
  </r>
  <r>
    <x v="29"/>
    <n v="5000"/>
    <m/>
    <n v="5000"/>
  </r>
  <r>
    <x v="29"/>
    <n v="120"/>
    <m/>
    <n v="12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n v="0"/>
  </r>
  <r>
    <x v="30"/>
    <m/>
    <m/>
    <m/>
  </r>
  <r>
    <x v="30"/>
    <m/>
    <m/>
    <m/>
  </r>
  <r>
    <x v="30"/>
    <m/>
    <m/>
    <m/>
  </r>
  <r>
    <x v="30"/>
    <m/>
    <m/>
    <m/>
  </r>
  <r>
    <x v="30"/>
    <m/>
    <m/>
    <m/>
  </r>
  <r>
    <x v="30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n v="1000"/>
    <m/>
    <n v="1000"/>
  </r>
  <r>
    <x v="0"/>
    <n v="50"/>
    <m/>
    <n v="50"/>
  </r>
  <r>
    <x v="1"/>
    <n v="50"/>
    <m/>
    <n v="50"/>
  </r>
  <r>
    <x v="2"/>
    <n v="60"/>
    <m/>
    <n v="60"/>
  </r>
  <r>
    <x v="2"/>
    <n v="134"/>
    <m/>
    <n v="134"/>
  </r>
  <r>
    <x v="2"/>
    <n v="1000"/>
    <m/>
    <n v="1000"/>
  </r>
  <r>
    <x v="2"/>
    <n v="500"/>
    <m/>
    <n v="500"/>
  </r>
  <r>
    <x v="2"/>
    <n v="15000"/>
    <m/>
    <n v="15000"/>
  </r>
  <r>
    <x v="3"/>
    <n v="1000"/>
    <m/>
    <n v="1000"/>
  </r>
  <r>
    <x v="3"/>
    <n v="50"/>
    <m/>
    <n v="50"/>
  </r>
  <r>
    <x v="4"/>
    <n v="1000"/>
    <m/>
    <n v="1000"/>
  </r>
  <r>
    <x v="4"/>
    <n v="20"/>
    <m/>
    <n v="20"/>
  </r>
  <r>
    <x v="5"/>
    <n v="200"/>
    <m/>
    <n v="200"/>
  </r>
  <r>
    <x v="5"/>
    <n v="200"/>
    <m/>
    <n v="200"/>
  </r>
  <r>
    <x v="5"/>
    <n v="1000"/>
    <m/>
    <n v="1000"/>
  </r>
  <r>
    <x v="5"/>
    <n v="20"/>
    <m/>
    <n v="20"/>
  </r>
  <r>
    <x v="6"/>
    <n v="2200"/>
    <m/>
    <n v="2200"/>
  </r>
  <r>
    <x v="6"/>
    <n v="300"/>
    <m/>
    <n v="300"/>
  </r>
  <r>
    <x v="6"/>
    <n v="1000"/>
    <m/>
    <n v="1000"/>
  </r>
  <r>
    <x v="6"/>
    <n v="4000"/>
    <m/>
    <n v="4000"/>
  </r>
  <r>
    <x v="6"/>
    <m/>
    <n v="6400"/>
    <n v="6400"/>
  </r>
  <r>
    <x v="6"/>
    <m/>
    <n v="800"/>
    <n v="800"/>
  </r>
  <r>
    <x v="7"/>
    <n v="1000"/>
    <m/>
    <n v="1000"/>
  </r>
  <r>
    <x v="7"/>
    <n v="500"/>
    <m/>
    <n v="500"/>
  </r>
  <r>
    <x v="7"/>
    <n v="90"/>
    <m/>
    <n v="90"/>
  </r>
  <r>
    <x v="8"/>
    <m/>
    <n v="200"/>
    <n v="1300"/>
  </r>
  <r>
    <x v="8"/>
    <n v="8000"/>
    <m/>
    <n v="300"/>
  </r>
  <r>
    <x v="8"/>
    <m/>
    <n v="5000"/>
    <n v="165"/>
  </r>
  <r>
    <x v="8"/>
    <n v="1000"/>
    <m/>
    <n v="1000"/>
  </r>
  <r>
    <x v="8"/>
    <n v="1000"/>
    <m/>
    <n v="1000"/>
  </r>
  <r>
    <x v="9"/>
    <n v="500"/>
    <m/>
    <n v="500"/>
  </r>
  <r>
    <x v="9"/>
    <n v="120"/>
    <m/>
    <n v="120"/>
  </r>
  <r>
    <x v="10"/>
    <m/>
    <n v="1000"/>
    <n v="1000"/>
  </r>
  <r>
    <x v="10"/>
    <m/>
    <n v="20000"/>
    <n v="20000"/>
  </r>
  <r>
    <x v="10"/>
    <m/>
    <n v="350"/>
    <n v="350"/>
  </r>
  <r>
    <x v="10"/>
    <n v="1000"/>
    <m/>
    <n v="1000"/>
  </r>
  <r>
    <x v="10"/>
    <n v="120"/>
    <m/>
    <n v="120"/>
  </r>
  <r>
    <x v="10"/>
    <n v="290"/>
    <m/>
    <n v="290"/>
  </r>
  <r>
    <x v="10"/>
    <n v="50"/>
    <m/>
    <n v="50"/>
  </r>
  <r>
    <x v="10"/>
    <n v="800"/>
    <m/>
    <n v="800"/>
  </r>
  <r>
    <x v="10"/>
    <n v="300"/>
    <m/>
    <n v="300"/>
  </r>
  <r>
    <x v="11"/>
    <n v="200"/>
    <m/>
    <n v="200"/>
  </r>
  <r>
    <x v="11"/>
    <n v="120"/>
    <m/>
    <n v="120"/>
  </r>
  <r>
    <x v="11"/>
    <n v="150"/>
    <m/>
    <n v="150"/>
  </r>
  <r>
    <x v="11"/>
    <n v="50"/>
    <m/>
    <n v="50"/>
  </r>
  <r>
    <x v="12"/>
    <n v="1000"/>
    <m/>
    <n v="1000"/>
  </r>
  <r>
    <x v="12"/>
    <n v="1125"/>
    <m/>
    <n v="1125"/>
  </r>
  <r>
    <x v="12"/>
    <n v="90"/>
    <m/>
    <n v="90"/>
  </r>
  <r>
    <x v="12"/>
    <n v="310"/>
    <m/>
    <n v="310"/>
  </r>
  <r>
    <x v="12"/>
    <n v="210"/>
    <m/>
    <n v="210"/>
  </r>
  <r>
    <x v="13"/>
    <n v="350"/>
    <m/>
    <n v="350"/>
  </r>
  <r>
    <x v="13"/>
    <n v="2000"/>
    <m/>
    <n v="2000"/>
  </r>
  <r>
    <x v="13"/>
    <n v="500"/>
    <m/>
    <n v="500"/>
  </r>
  <r>
    <x v="13"/>
    <n v="100"/>
    <m/>
    <n v="100"/>
  </r>
  <r>
    <x v="13"/>
    <m/>
    <n v="286"/>
    <n v="286"/>
  </r>
  <r>
    <x v="14"/>
    <n v="50"/>
    <m/>
    <n v="50"/>
  </r>
  <r>
    <x v="14"/>
    <n v="700"/>
    <m/>
    <n v="700"/>
  </r>
  <r>
    <x v="14"/>
    <n v="90"/>
    <m/>
    <n v="90"/>
  </r>
  <r>
    <x v="15"/>
    <n v="1000"/>
    <m/>
    <n v="1000"/>
  </r>
  <r>
    <x v="15"/>
    <n v="100"/>
    <m/>
    <n v="100"/>
  </r>
  <r>
    <x v="15"/>
    <n v="120"/>
    <m/>
    <n v="120"/>
  </r>
  <r>
    <x v="16"/>
    <n v="700"/>
    <m/>
    <n v="700"/>
  </r>
  <r>
    <x v="16"/>
    <n v="60"/>
    <m/>
    <n v="60"/>
  </r>
  <r>
    <x v="16"/>
    <n v="90"/>
    <m/>
    <n v="90"/>
  </r>
  <r>
    <x v="17"/>
    <n v="500"/>
    <m/>
    <n v="500"/>
  </r>
  <r>
    <x v="17"/>
    <n v="100"/>
    <m/>
    <n v="100"/>
  </r>
  <r>
    <x v="17"/>
    <n v="100"/>
    <m/>
    <n v="100"/>
  </r>
  <r>
    <x v="17"/>
    <n v="700"/>
    <m/>
    <n v="700"/>
  </r>
  <r>
    <x v="18"/>
    <n v="900"/>
    <m/>
    <n v="900"/>
  </r>
  <r>
    <x v="18"/>
    <n v="135"/>
    <m/>
    <n v="135"/>
  </r>
  <r>
    <x v="19"/>
    <n v="140"/>
    <m/>
    <n v="140"/>
  </r>
  <r>
    <x v="19"/>
    <n v="1500"/>
    <m/>
    <n v="1500"/>
  </r>
  <r>
    <x v="19"/>
    <m/>
    <n v="1100"/>
    <n v="1100"/>
  </r>
  <r>
    <x v="19"/>
    <m/>
    <n v="60000"/>
    <n v="60000"/>
  </r>
  <r>
    <x v="20"/>
    <n v="350"/>
    <m/>
    <n v="350"/>
  </r>
  <r>
    <x v="20"/>
    <n v="180"/>
    <m/>
    <n v="180"/>
  </r>
  <r>
    <x v="21"/>
    <n v="150"/>
    <m/>
    <n v="150"/>
  </r>
  <r>
    <x v="21"/>
    <m/>
    <n v="50000"/>
    <n v="50000"/>
  </r>
  <r>
    <x v="21"/>
    <n v="1000"/>
    <m/>
    <n v="1000"/>
  </r>
  <r>
    <x v="21"/>
    <m/>
    <n v="4100"/>
    <n v="4100"/>
  </r>
  <r>
    <x v="21"/>
    <m/>
    <n v="19000"/>
    <n v="19000"/>
  </r>
  <r>
    <x v="22"/>
    <m/>
    <n v="3250"/>
    <n v="3250"/>
  </r>
  <r>
    <x v="22"/>
    <m/>
    <n v="800"/>
    <n v="800"/>
  </r>
  <r>
    <x v="22"/>
    <n v="625"/>
    <m/>
    <n v="625"/>
  </r>
  <r>
    <x v="22"/>
    <n v="1000"/>
    <m/>
    <n v="1000"/>
  </r>
  <r>
    <x v="22"/>
    <n v="120"/>
    <m/>
    <n v="120"/>
  </r>
  <r>
    <x v="22"/>
    <n v="200"/>
    <m/>
    <n v="200"/>
  </r>
  <r>
    <x v="23"/>
    <n v="2600"/>
    <m/>
    <n v="2600"/>
  </r>
  <r>
    <x v="23"/>
    <n v="1000"/>
    <m/>
    <n v="1000"/>
  </r>
  <r>
    <x v="23"/>
    <n v="120"/>
    <m/>
    <n v="120"/>
  </r>
  <r>
    <x v="24"/>
    <n v="100"/>
    <m/>
    <n v="100"/>
  </r>
  <r>
    <x v="24"/>
    <m/>
    <n v="750"/>
    <n v="750"/>
  </r>
  <r>
    <x v="24"/>
    <n v="85"/>
    <m/>
    <n v="85"/>
  </r>
  <r>
    <x v="24"/>
    <n v="1000"/>
    <m/>
    <n v="1000"/>
  </r>
  <r>
    <x v="24"/>
    <m/>
    <n v="650"/>
    <n v="650"/>
  </r>
  <r>
    <x v="24"/>
    <m/>
    <n v="1500"/>
    <n v="1500"/>
  </r>
  <r>
    <x v="24"/>
    <n v="120"/>
    <m/>
    <n v="120"/>
  </r>
  <r>
    <x v="25"/>
    <n v="2000"/>
    <m/>
    <n v="2000"/>
  </r>
  <r>
    <x v="25"/>
    <n v="500"/>
    <m/>
    <n v="500"/>
  </r>
  <r>
    <x v="25"/>
    <n v="170"/>
    <m/>
    <n v="170"/>
  </r>
  <r>
    <x v="25"/>
    <n v="1000"/>
    <m/>
    <n v="1000"/>
  </r>
  <r>
    <x v="25"/>
    <n v="1000"/>
    <m/>
    <n v="1000"/>
  </r>
  <r>
    <x v="25"/>
    <n v="400"/>
    <m/>
    <n v="400"/>
  </r>
  <r>
    <x v="25"/>
    <m/>
    <n v="5000"/>
    <n v="5000"/>
  </r>
  <r>
    <x v="25"/>
    <m/>
    <n v="300"/>
    <n v="300"/>
  </r>
  <r>
    <x v="26"/>
    <n v="50"/>
    <m/>
    <n v="50"/>
  </r>
  <r>
    <x v="26"/>
    <n v="120"/>
    <m/>
    <n v="120"/>
  </r>
  <r>
    <x v="26"/>
    <n v="1000"/>
    <m/>
    <n v="1000"/>
  </r>
  <r>
    <x v="27"/>
    <n v="150"/>
    <m/>
    <n v="150"/>
  </r>
  <r>
    <x v="27"/>
    <n v="120"/>
    <m/>
    <n v="120"/>
  </r>
  <r>
    <x v="27"/>
    <n v="1000"/>
    <m/>
    <n v="1000"/>
  </r>
  <r>
    <x v="28"/>
    <n v="9660"/>
    <m/>
    <n v="9660"/>
  </r>
  <r>
    <x v="28"/>
    <n v="250"/>
    <m/>
    <n v="250"/>
  </r>
  <r>
    <x v="28"/>
    <n v="500"/>
    <m/>
    <n v="500"/>
  </r>
  <r>
    <x v="28"/>
    <n v="170"/>
    <m/>
    <n v="170"/>
  </r>
  <r>
    <x v="29"/>
    <n v="170"/>
    <m/>
    <n v="170"/>
  </r>
  <r>
    <x v="29"/>
    <m/>
    <n v="2000"/>
    <n v="2000"/>
  </r>
  <r>
    <x v="29"/>
    <m/>
    <n v="2800"/>
    <n v="2800"/>
  </r>
  <r>
    <x v="30"/>
    <n v="120"/>
    <m/>
    <n v="12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n v="0"/>
  </r>
  <r>
    <x v="31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n v="30"/>
    <m/>
    <n v="30"/>
  </r>
  <r>
    <x v="0"/>
    <n v="1000"/>
    <m/>
    <n v="1000"/>
  </r>
  <r>
    <x v="0"/>
    <n v="90"/>
    <m/>
    <n v="90"/>
  </r>
  <r>
    <x v="0"/>
    <n v="810"/>
    <m/>
    <n v="810"/>
  </r>
  <r>
    <x v="1"/>
    <n v="140"/>
    <m/>
    <n v="140"/>
  </r>
  <r>
    <x v="1"/>
    <n v="1000"/>
    <m/>
    <n v="1000"/>
  </r>
  <r>
    <x v="2"/>
    <n v="140"/>
    <m/>
    <n v="140"/>
  </r>
  <r>
    <x v="2"/>
    <n v="1000"/>
    <m/>
    <n v="1000"/>
  </r>
  <r>
    <x v="3"/>
    <n v="54540"/>
    <m/>
    <n v="54540"/>
  </r>
  <r>
    <x v="3"/>
    <n v="72610"/>
    <m/>
    <n v="72610"/>
  </r>
  <r>
    <x v="3"/>
    <n v="22730"/>
    <m/>
    <n v="22730"/>
  </r>
  <r>
    <x v="3"/>
    <n v="140"/>
    <m/>
    <n v="140"/>
  </r>
  <r>
    <x v="3"/>
    <n v="1000"/>
    <m/>
    <n v="1000"/>
  </r>
  <r>
    <x v="3"/>
    <n v="300"/>
    <m/>
    <n v="300"/>
  </r>
  <r>
    <x v="4"/>
    <n v="500"/>
    <m/>
    <n v="500"/>
  </r>
  <r>
    <x v="4"/>
    <n v="1000"/>
    <m/>
    <n v="1000"/>
  </r>
  <r>
    <x v="4"/>
    <n v="3000"/>
    <m/>
    <n v="3000"/>
  </r>
  <r>
    <x v="4"/>
    <m/>
    <n v="3370"/>
    <n v="3370"/>
  </r>
  <r>
    <x v="4"/>
    <n v="120"/>
    <m/>
    <n v="120"/>
  </r>
  <r>
    <x v="5"/>
    <n v="170"/>
    <m/>
    <n v="170"/>
  </r>
  <r>
    <x v="5"/>
    <n v="440"/>
    <m/>
    <n v="440"/>
  </r>
  <r>
    <x v="5"/>
    <n v="4000"/>
    <m/>
    <n v="4000"/>
  </r>
  <r>
    <x v="5"/>
    <n v="1000"/>
    <m/>
    <n v="1000"/>
  </r>
  <r>
    <x v="6"/>
    <n v="2500"/>
    <m/>
    <n v="2500"/>
  </r>
  <r>
    <x v="6"/>
    <n v="1000"/>
    <m/>
    <n v="1000"/>
  </r>
  <r>
    <x v="6"/>
    <m/>
    <n v="5707"/>
    <n v="5707"/>
  </r>
  <r>
    <x v="6"/>
    <m/>
    <n v="6237"/>
    <n v="6237"/>
  </r>
  <r>
    <x v="6"/>
    <m/>
    <n v="10053"/>
    <n v="10053"/>
  </r>
  <r>
    <x v="6"/>
    <m/>
    <n v="7150"/>
    <n v="7150"/>
  </r>
  <r>
    <x v="7"/>
    <n v="1000"/>
    <m/>
    <n v="1000"/>
  </r>
  <r>
    <x v="7"/>
    <n v="1000"/>
    <m/>
    <n v="1000"/>
  </r>
  <r>
    <x v="7"/>
    <n v="120"/>
    <m/>
    <n v="120"/>
  </r>
  <r>
    <x v="7"/>
    <m/>
    <n v="700"/>
    <n v="700"/>
  </r>
  <r>
    <x v="8"/>
    <n v="1000"/>
    <m/>
    <n v="1000"/>
  </r>
  <r>
    <x v="8"/>
    <n v="120"/>
    <m/>
    <n v="120"/>
  </r>
  <r>
    <x v="9"/>
    <n v="1000"/>
    <m/>
    <n v="1000"/>
  </r>
  <r>
    <x v="9"/>
    <n v="120"/>
    <m/>
    <n v="120"/>
  </r>
  <r>
    <x v="9"/>
    <n v="2800"/>
    <m/>
    <n v="2800"/>
  </r>
  <r>
    <x v="10"/>
    <n v="3000"/>
    <m/>
    <n v="3000"/>
  </r>
  <r>
    <x v="10"/>
    <m/>
    <n v="3875"/>
    <n v="3875"/>
  </r>
  <r>
    <x v="10"/>
    <n v="1000"/>
    <m/>
    <n v="1000"/>
  </r>
  <r>
    <x v="10"/>
    <n v="120"/>
    <m/>
    <n v="120"/>
  </r>
  <r>
    <x v="11"/>
    <m/>
    <n v="1200"/>
    <n v="1200"/>
  </r>
  <r>
    <x v="11"/>
    <n v="1000"/>
    <m/>
    <n v="1000"/>
  </r>
  <r>
    <x v="11"/>
    <n v="120"/>
    <m/>
    <n v="120"/>
  </r>
  <r>
    <x v="12"/>
    <n v="80"/>
    <m/>
    <n v="80"/>
  </r>
  <r>
    <x v="12"/>
    <n v="300"/>
    <m/>
    <n v="300"/>
  </r>
  <r>
    <x v="12"/>
    <n v="1500"/>
    <m/>
    <n v="1500"/>
  </r>
  <r>
    <x v="12"/>
    <n v="1500"/>
    <m/>
    <n v="1500"/>
  </r>
  <r>
    <x v="12"/>
    <n v="250"/>
    <m/>
    <n v="250"/>
  </r>
  <r>
    <x v="12"/>
    <n v="1100"/>
    <m/>
    <n v="1100"/>
  </r>
  <r>
    <x v="12"/>
    <n v="170"/>
    <m/>
    <n v="170"/>
  </r>
  <r>
    <x v="12"/>
    <n v="2500"/>
    <m/>
    <n v="2500"/>
  </r>
  <r>
    <x v="12"/>
    <n v="80"/>
    <m/>
    <n v="80"/>
  </r>
  <r>
    <x v="13"/>
    <n v="5000"/>
    <m/>
    <n v="5000"/>
  </r>
  <r>
    <x v="13"/>
    <n v="140"/>
    <m/>
    <n v="140"/>
  </r>
  <r>
    <x v="13"/>
    <n v="1000"/>
    <m/>
    <n v="1000"/>
  </r>
  <r>
    <x v="14"/>
    <n v="70"/>
    <m/>
    <n v="70"/>
  </r>
  <r>
    <x v="14"/>
    <m/>
    <n v="360"/>
    <n v="360"/>
  </r>
  <r>
    <x v="14"/>
    <n v="120"/>
    <m/>
    <n v="120"/>
  </r>
  <r>
    <x v="14"/>
    <n v="1000"/>
    <m/>
    <n v="1000"/>
  </r>
  <r>
    <x v="15"/>
    <n v="1000"/>
    <m/>
    <n v="1000"/>
  </r>
  <r>
    <x v="15"/>
    <n v="130"/>
    <m/>
    <n v="130"/>
  </r>
  <r>
    <x v="15"/>
    <n v="550"/>
    <m/>
    <n v="550"/>
  </r>
  <r>
    <x v="16"/>
    <n v="150"/>
    <m/>
    <n v="150"/>
  </r>
  <r>
    <x v="17"/>
    <n v="500"/>
    <m/>
    <n v="500"/>
  </r>
  <r>
    <x v="17"/>
    <n v="135"/>
    <m/>
    <n v="135"/>
  </r>
  <r>
    <x v="17"/>
    <n v="2000"/>
    <m/>
    <n v="2000"/>
  </r>
  <r>
    <x v="17"/>
    <n v="50"/>
    <m/>
    <n v="50"/>
  </r>
  <r>
    <x v="17"/>
    <n v="135"/>
    <m/>
    <n v="135"/>
  </r>
  <r>
    <x v="18"/>
    <n v="170"/>
    <m/>
    <n v="170"/>
  </r>
  <r>
    <x v="19"/>
    <n v="420"/>
    <m/>
    <n v="420"/>
  </r>
  <r>
    <x v="19"/>
    <n v="1000"/>
    <m/>
    <n v="1000"/>
  </r>
  <r>
    <x v="19"/>
    <n v="60"/>
    <m/>
    <n v="60"/>
  </r>
  <r>
    <x v="19"/>
    <m/>
    <n v="60000"/>
    <n v="60000"/>
  </r>
  <r>
    <x v="20"/>
    <n v="1000"/>
    <m/>
    <n v="1000"/>
  </r>
  <r>
    <x v="20"/>
    <n v="150"/>
    <m/>
    <n v="150"/>
  </r>
  <r>
    <x v="20"/>
    <n v="5000"/>
    <m/>
    <n v="5000"/>
  </r>
  <r>
    <x v="20"/>
    <m/>
    <n v="3820"/>
    <n v="3820"/>
  </r>
  <r>
    <x v="21"/>
    <n v="1000"/>
    <m/>
    <n v="1000"/>
  </r>
  <r>
    <x v="21"/>
    <n v="150"/>
    <m/>
    <n v="150"/>
  </r>
  <r>
    <x v="21"/>
    <m/>
    <n v="50000"/>
    <n v="50000"/>
  </r>
  <r>
    <x v="21"/>
    <m/>
    <n v="25000"/>
    <n v="25000"/>
  </r>
  <r>
    <x v="22"/>
    <n v="6500"/>
    <m/>
    <n v="6500"/>
  </r>
  <r>
    <x v="22"/>
    <n v="1000"/>
    <m/>
    <n v="1000"/>
  </r>
  <r>
    <x v="22"/>
    <n v="150"/>
    <m/>
    <n v="150"/>
  </r>
  <r>
    <x v="23"/>
    <n v="1000"/>
    <m/>
    <n v="1000"/>
  </r>
  <r>
    <x v="23"/>
    <n v="150"/>
    <m/>
    <n v="150"/>
  </r>
  <r>
    <x v="23"/>
    <n v="200"/>
    <m/>
    <n v="200"/>
  </r>
  <r>
    <x v="23"/>
    <n v="2000"/>
    <m/>
    <n v="2000"/>
  </r>
  <r>
    <x v="24"/>
    <n v="1000"/>
    <m/>
    <n v="1000"/>
  </r>
  <r>
    <x v="24"/>
    <n v="150"/>
    <m/>
    <n v="15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n v="0"/>
  </r>
  <r>
    <x v="25"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n v="0"/>
  </r>
  <r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808D3-5A25-4763-AF6B-93F261691EE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32" firstHeaderRow="0" firstDataRow="1" firstDataCol="1"/>
  <pivotFields count="4">
    <pivotField axis="axisRow" showAll="0">
      <items count="31">
        <item x="29"/>
        <item x="0"/>
        <item x="1"/>
        <item x="2"/>
        <item x="3"/>
        <item x="4"/>
        <item x="5"/>
        <item x="6"/>
        <item x="7"/>
        <item x="8"/>
        <item x="2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7">
    <format dxfId="302">
      <pivotArea collapsedLevelsAreSubtotals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01">
      <pivotArea field="0" type="button" dataOnly="0" labelOnly="1" outline="0" axis="axisRow" fieldPosition="0"/>
    </format>
    <format dxfId="300">
      <pivotArea dataOnly="0" labelOnly="1" fieldPosition="0">
        <references count="1">
          <reference field="0" count="0"/>
        </references>
      </pivotArea>
    </format>
    <format dxfId="299">
      <pivotArea dataOnly="0" labelOnly="1" grandRow="1" outline="0" fieldPosition="0"/>
    </format>
    <format dxfId="2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DECBF-C2A4-4558-8C28-CCFFB55C6A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34" firstHeaderRow="0" firstDataRow="1" firstDataCol="1"/>
  <pivotFields count="4">
    <pivotField axis="axisRow" showAll="0">
      <items count="33">
        <item x="31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7">
    <format dxfId="265">
      <pivotArea collapsedLevelsAreSubtotals="1" fieldPosition="0">
        <references count="1">
          <reference field="0" count="1">
            <x v="0"/>
          </reference>
        </references>
      </pivotArea>
    </format>
    <format dxfId="264">
      <pivotArea field="0" type="button" dataOnly="0" labelOnly="1" outline="0" axis="axisRow" fieldPosition="0"/>
    </format>
    <format dxfId="263">
      <pivotArea dataOnly="0" labelOnly="1" fieldPosition="0">
        <references count="1">
          <reference field="0" count="0"/>
        </references>
      </pivotArea>
    </format>
    <format dxfId="262">
      <pivotArea dataOnly="0" labelOnly="1" grandRow="1" outline="0" fieldPosition="0"/>
    </format>
    <format dxfId="2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B12F8-1AC6-427B-9F13-91EBC0730A8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34" firstHeaderRow="0" firstDataRow="1" firstDataCol="1"/>
  <pivotFields count="4">
    <pivotField axis="axisRow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7">
    <format dxfId="228">
      <pivotArea field="0" type="button" dataOnly="0" labelOnly="1" outline="0" axis="axisRow" fieldPosition="0"/>
    </format>
    <format dxfId="227">
      <pivotArea dataOnly="0" labelOnly="1" fieldPosition="0">
        <references count="1">
          <reference field="0" count="0"/>
        </references>
      </pivotArea>
    </format>
    <format dxfId="226">
      <pivotArea dataOnly="0" labelOnly="1" grandRow="1" outline="0" fieldPosition="0"/>
    </format>
    <format dxfId="2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2">
      <pivotArea collapsedLevelsAreSubtotals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F968F-7006-43BB-A724-0E0E4559ED2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33" firstHeaderRow="0" firstDataRow="1" firstDataCol="1"/>
  <pivotFields count="4">
    <pivotField axis="axisRow" showAll="0">
      <items count="32">
        <item x="30"/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6">
    <format dxfId="191">
      <pivotArea field="0" type="button" dataOnly="0" labelOnly="1" outline="0" axis="axisRow" fieldPosition="0"/>
    </format>
    <format dxfId="190">
      <pivotArea dataOnly="0" labelOnly="1" fieldPosition="0">
        <references count="1">
          <reference field="0" count="0"/>
        </references>
      </pivotArea>
    </format>
    <format dxfId="189">
      <pivotArea dataOnly="0" labelOnly="1" grandRow="1" outline="0" fieldPosition="0"/>
    </format>
    <format dxfId="1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689A0-2C9D-4833-A6D2-252BA8AEF7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34" firstHeaderRow="0" firstDataRow="1" firstDataCol="1"/>
  <pivotFields count="4">
    <pivotField axis="axisRow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6"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371D3-9589-4B6E-9E25-AF5023AA99B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28" firstHeaderRow="0" firstDataRow="1" firstDataCol="1"/>
  <pivotFields count="4"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6"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BD6F-CA5C-46C3-A7F1-C8AA1AC7CE9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4" firstHeaderRow="0" firstDataRow="1" firstDataCol="1"/>
  <pivotFields count="4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6"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15BE6-0F70-42A8-994B-57A0A194590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4" firstHeaderRow="0" firstDataRow="1" firstDataCol="1"/>
  <pivotFields count="4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3" baseField="0" baseItem="0"/>
    <dataField name="Sum of Cash" fld="1" baseField="0" baseItem="0"/>
    <dataField name="Sum of Account Transfer" fld="2" baseField="0" baseItem="0"/>
  </dataFields>
  <formats count="6"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F1F753-251E-41E4-8BBB-08B6875A99B2}" name="Table2345345687911121514161718192021222324252627283456789101134567891011126" displayName="Table2345345687911121514161718192021222324252627283456789101134567891011126" ref="A1:M33" totalsRowShown="0" headerRowDxfId="392" dataDxfId="390" headerRowBorderDxfId="391" tableBorderDxfId="389" totalsRowBorderDxfId="388">
  <tableColumns count="13">
    <tableColumn id="1" xr3:uid="{2A17B668-391A-4FCF-8EB0-3241B2DCC6E4}" name="Date" dataDxfId="387"/>
    <tableColumn id="9" xr3:uid="{418636D5-428E-429A-8105-0CBFF73D5F95}" name="Actual Profit" dataDxfId="386" dataCellStyle="Comma">
      <calculatedColumnFormula>Table2345345687911121514161718192021222324252627283456789101134567891011126[[#This Row],[Profit]]-Table2345345687911121514161718192021222324252627283456789101134567891011126[[#This Row],[Mulbhag]]</calculatedColumnFormula>
    </tableColumn>
    <tableColumn id="8" xr3:uid="{E9DCD522-45E2-46C1-A0EA-93C525009F41}" name="Mulbhag" dataDxfId="385" dataCellStyle="Comma">
      <calculatedColumnFormula>Table2345345687911121514161718192021222324252627283456789101134567891011126[[#This Row],[Profit]]/3</calculatedColumnFormula>
    </tableColumn>
    <tableColumn id="2" xr3:uid="{6CDDB828-8B4C-45F5-A268-2394DAF91AA0}" name="Profit" dataDxfId="384" dataCellStyle="Comma">
      <calculatedColumnFormula>F2*0.3</calculatedColumnFormula>
    </tableColumn>
    <tableColumn id="3" xr3:uid="{600AAAD3-D0B4-4BA7-8C53-A22E73A81219}" name="Actual" dataDxfId="383" dataCellStyle="Comma">
      <calculatedColumnFormula>F2-D2</calculatedColumnFormula>
    </tableColumn>
    <tableColumn id="5" xr3:uid="{F4BA7C1D-0426-40FE-A3A6-CA37E5A26852}" name="Total" dataDxfId="382" dataCellStyle="Comma">
      <calculatedColumnFormula>G2+H2</calculatedColumnFormula>
    </tableColumn>
    <tableColumn id="11" xr3:uid="{2ED9B079-08B9-48AE-8947-152A8D84A60C}" name="Cash" dataDxfId="381" dataCellStyle="Comma"/>
    <tableColumn id="10" xr3:uid="{1309C89A-DC3F-4BCB-9667-2C781170D3E9}" name="Account Transfer" dataDxfId="380" dataCellStyle="Comma"/>
    <tableColumn id="4" xr3:uid="{2CE55990-72E9-4371-9A57-AD3F3377EF8A}" name="Expense" dataDxfId="379" dataCellStyle="Comma"/>
    <tableColumn id="6" xr3:uid="{40B2F8F7-17DB-4A72-A1C0-347758EE7539}" name="Expense Online" dataDxfId="378" dataCellStyle="Comma"/>
    <tableColumn id="12" xr3:uid="{5D5084F1-84AC-431F-907E-060E85EE29AC}" name="Account Balance" dataDxfId="377" dataCellStyle="Comma">
      <calculatedColumnFormula>Table2345345687911121514161718192021222324252627283456789101134567891011126[[#This Row],[Account Transfer]]-Table2345345687911121514161718192021222324252627283456789101134567891011126[[#This Row],[Expense Online]]</calculatedColumnFormula>
    </tableColumn>
    <tableColumn id="7" xr3:uid="{1A37E2EE-CB64-4387-8E20-282E92603B28}" name="cash on hand" dataDxfId="376" dataCellStyle="Comma">
      <calculatedColumnFormula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calculatedColumnFormula>
    </tableColumn>
    <tableColumn id="13" xr3:uid="{47A6F940-73CA-4390-B1F8-08A38DA6DF4D}" name="Actual Balance" dataDxfId="375" dataCellStyle="Comma">
      <calculatedColumnFormula>Table2345345687911121514161718192021222324252627283456789101134567891011126[[#This Row],[Cash]]-Table2345345687911121514161718192021222324252627283456789101134567891011126[[#This Row],[Expense]]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D72ED4-5B93-4FFF-AA47-6067DB930718}" name="Table23453456879111215141617181920212223242526272834567891011345678910111267" displayName="Table23453456879111215141617181920212223242526272834567891011345678910111267" ref="A1:M33" totalsRowShown="0" headerRowDxfId="374" dataDxfId="372" headerRowBorderDxfId="373" tableBorderDxfId="371" totalsRowBorderDxfId="370">
  <tableColumns count="13">
    <tableColumn id="1" xr3:uid="{3F4950B6-19B0-4DE3-85E1-65AA3B4C3135}" name="Date" dataDxfId="369"/>
    <tableColumn id="9" xr3:uid="{C63BD022-A5C4-4D2F-B904-C310482CC937}" name="Actual Profit" dataDxfId="368" dataCellStyle="Comma">
      <calculatedColumnFormula>Table23453456879111215141617181920212223242526272834567891011345678910111267[[#This Row],[Profit]]-Table23453456879111215141617181920212223242526272834567891011345678910111267[[#This Row],[Mulbhag]]</calculatedColumnFormula>
    </tableColumn>
    <tableColumn id="8" xr3:uid="{96DC86DA-1BA8-4E7B-91F9-BD6616CD3C5A}" name="Mulbhag" dataDxfId="367" dataCellStyle="Comma">
      <calculatedColumnFormula>Table23453456879111215141617181920212223242526272834567891011345678910111267[[#This Row],[Profit]]/3</calculatedColumnFormula>
    </tableColumn>
    <tableColumn id="2" xr3:uid="{28E4DA11-DB6C-43BA-B6C7-65C8A94B92B6}" name="Profit" dataDxfId="366" dataCellStyle="Comma">
      <calculatedColumnFormula>F2*0.3</calculatedColumnFormula>
    </tableColumn>
    <tableColumn id="3" xr3:uid="{30B38DB1-4AF8-4652-AAC6-A12FCC8E33FA}" name="Actual" dataDxfId="365" dataCellStyle="Comma">
      <calculatedColumnFormula>F2-D2</calculatedColumnFormula>
    </tableColumn>
    <tableColumn id="5" xr3:uid="{ACA913F0-67E3-4F73-ADB3-76011E9773C2}" name="Total" dataDxfId="364" dataCellStyle="Comma">
      <calculatedColumnFormula>G2+H2</calculatedColumnFormula>
    </tableColumn>
    <tableColumn id="11" xr3:uid="{1D0AE4B5-FD2D-4F67-A384-410B628BB0BC}" name="Cash" dataDxfId="363" dataCellStyle="Comma"/>
    <tableColumn id="10" xr3:uid="{B57EFEED-05C1-44B5-BB38-45C78F188733}" name="Account Transfer" dataDxfId="362" dataCellStyle="Comma"/>
    <tableColumn id="4" xr3:uid="{8EEFA9F3-3CAB-47EE-A45B-49C6A3BAE65D}" name="Expense" dataDxfId="361" dataCellStyle="Comma"/>
    <tableColumn id="6" xr3:uid="{2325B5CF-208B-4A69-A362-DC2B866A9373}" name="Expense Online" dataDxfId="360" dataCellStyle="Comma"/>
    <tableColumn id="12" xr3:uid="{9CF0CEC0-7273-4C41-A943-D324078EFCDE}" name="Account Balance" dataDxfId="359" dataCellStyle="Comma">
      <calculatedColumnFormula>Table23453456879111215141617181920212223242526272834567891011345678910111267[[#This Row],[Account Transfer]]-Table23453456879111215141617181920212223242526272834567891011345678910111267[[#This Row],[Expense Online]]</calculatedColumnFormula>
    </tableColumn>
    <tableColumn id="7" xr3:uid="{D7E84DA2-51D0-472C-9FA1-9F61A4B288D6}" name="cash on hand" dataDxfId="358" dataCellStyle="Comma">
      <calculatedColumnFormula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calculatedColumnFormula>
    </tableColumn>
    <tableColumn id="13" xr3:uid="{D8D8E8D2-D1EA-45CD-9086-18BFB1121FB2}" name="Actual Balance" dataDxfId="357" dataCellStyle="Comma">
      <calculatedColumnFormula>Table23453456879111215141617181920212223242526272834567891011345678910111267[[#This Row],[Cash]]-Table23453456879111215141617181920212223242526272834567891011345678910111267[[#This Row],[Expense]]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7134CB-5FA4-4BA4-B924-F19E15DEECAB}" name="Table234534568791112151416171819202122232425262728345678910113456789101112678" displayName="Table234534568791112151416171819202122232425262728345678910113456789101112678" ref="A1:M33" totalsRowShown="0" headerRowDxfId="356" dataDxfId="354" headerRowBorderDxfId="355" tableBorderDxfId="353" totalsRowBorderDxfId="352">
  <tableColumns count="13">
    <tableColumn id="1" xr3:uid="{7C58C5BB-0459-4451-823C-6D7FF98ABF68}" name="Date" dataDxfId="351"/>
    <tableColumn id="9" xr3:uid="{70BF467D-8CF0-43E3-97C8-8E84BD93F774}" name="Actual Profit" dataDxfId="350" dataCellStyle="Comma">
      <calculatedColumnFormula>Table234534568791112151416171819202122232425262728345678910113456789101112678[[#This Row],[Profit]]-Table234534568791112151416171819202122232425262728345678910113456789101112678[[#This Row],[Mulbhag]]</calculatedColumnFormula>
    </tableColumn>
    <tableColumn id="8" xr3:uid="{5CC24B10-10B8-4EE2-9DC5-2B4CB9CB8838}" name="Mulbhag" dataDxfId="349" dataCellStyle="Comma">
      <calculatedColumnFormula>Table234534568791112151416171819202122232425262728345678910113456789101112678[[#This Row],[Profit]]/3</calculatedColumnFormula>
    </tableColumn>
    <tableColumn id="2" xr3:uid="{25817EDF-AF91-49D8-8577-E1642A042BF9}" name="Profit" dataDxfId="348" dataCellStyle="Comma">
      <calculatedColumnFormula>F2*0.3</calculatedColumnFormula>
    </tableColumn>
    <tableColumn id="3" xr3:uid="{949953BA-DD9F-4096-8897-32E8091E64D1}" name="Actual" dataDxfId="347" dataCellStyle="Comma">
      <calculatedColumnFormula>F2-D2</calculatedColumnFormula>
    </tableColumn>
    <tableColumn id="5" xr3:uid="{C9ACA56C-8ACD-4486-9048-F424E35672AC}" name="Total" dataDxfId="346" dataCellStyle="Comma">
      <calculatedColumnFormula>G2+H2</calculatedColumnFormula>
    </tableColumn>
    <tableColumn id="11" xr3:uid="{04386CC0-C42F-4121-861D-A209B5C7C32B}" name="Cash" dataDxfId="345" dataCellStyle="Comma"/>
    <tableColumn id="10" xr3:uid="{61660195-6FB2-4A6B-900D-9C62BEDF3120}" name="Account Transfer" dataDxfId="344" dataCellStyle="Comma"/>
    <tableColumn id="4" xr3:uid="{6B8ED9FF-DF42-4793-AEFB-50B8F8C6417F}" name="Expense" dataDxfId="343" dataCellStyle="Comma"/>
    <tableColumn id="6" xr3:uid="{06DE4EEE-A9F4-45EF-A445-82DC1C2102A9}" name="Expense Online" dataDxfId="342" dataCellStyle="Comma"/>
    <tableColumn id="12" xr3:uid="{5A5B073C-E955-4B4E-B093-97B7D19CBA12}" name="Account Balance" dataDxfId="341" dataCellStyle="Comma">
      <calculatedColumnFormula>Table234534568791112151416171819202122232425262728345678910113456789101112678[[#This Row],[Account Transfer]]-Table234534568791112151416171819202122232425262728345678910113456789101112678[[#This Row],[Expense Online]]</calculatedColumnFormula>
    </tableColumn>
    <tableColumn id="7" xr3:uid="{33B76767-1F0B-427E-A158-7D079629671B}" name="cash on hand" dataDxfId="340" dataCellStyle="Comma">
      <calculatedColumnFormula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calculatedColumnFormula>
    </tableColumn>
    <tableColumn id="13" xr3:uid="{AA0CF26B-2C9F-432D-B143-32202B4C7F02}" name="Actual Balance" dataDxfId="339" dataCellStyle="Comma">
      <calculatedColumnFormula>Table234534568791112151416171819202122232425262728345678910113456789101112678[[#This Row],[Cash]]-Table234534568791112151416171819202122232425262728345678910113456789101112678[[#This Row],[Expense]]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83F789-F6FD-474D-A2AB-2D72C401DB49}" name="Table2345345687911121514161718192021222324252627283456789101134567891011126789" displayName="Table2345345687911121514161718192021222324252627283456789101134567891011126789" ref="A1:M33" totalsRowShown="0" headerRowDxfId="338" dataDxfId="336" headerRowBorderDxfId="337" tableBorderDxfId="335" totalsRowBorderDxfId="334">
  <tableColumns count="13">
    <tableColumn id="1" xr3:uid="{9FC1EB9E-50DA-4C83-A5BD-D3CA3F9160C8}" name="Date" dataDxfId="333"/>
    <tableColumn id="9" xr3:uid="{972AA9CD-D401-4A79-959C-1C8F025846A6}" name="Actual Profit" dataDxfId="332" dataCellStyle="Comma">
      <calculatedColumnFormula>Table2345345687911121514161718192021222324252627283456789101134567891011126789[[#This Row],[Profit]]-Table2345345687911121514161718192021222324252627283456789101134567891011126789[[#This Row],[Mulbhag]]</calculatedColumnFormula>
    </tableColumn>
    <tableColumn id="8" xr3:uid="{E1F96DC9-95E6-416A-AD0B-F0DFFFA79F68}" name="Mulbhag" dataDxfId="331" dataCellStyle="Comma">
      <calculatedColumnFormula>Table2345345687911121514161718192021222324252627283456789101134567891011126789[[#This Row],[Profit]]/3</calculatedColumnFormula>
    </tableColumn>
    <tableColumn id="2" xr3:uid="{710A26BC-4AA6-4A1A-A112-8B3A54756097}" name="Profit" dataDxfId="330" dataCellStyle="Comma">
      <calculatedColumnFormula>F2*0.3</calculatedColumnFormula>
    </tableColumn>
    <tableColumn id="3" xr3:uid="{7F97832F-3C55-4954-A08B-31516C3CE796}" name="Actual" dataDxfId="329" dataCellStyle="Comma">
      <calculatedColumnFormula>F2-D2</calculatedColumnFormula>
    </tableColumn>
    <tableColumn id="5" xr3:uid="{88E51FC5-EA5D-464F-A4D3-3E3D6257EEF2}" name="Total" dataDxfId="328" dataCellStyle="Comma">
      <calculatedColumnFormula>G2+H2</calculatedColumnFormula>
    </tableColumn>
    <tableColumn id="11" xr3:uid="{565721D9-2BCC-4034-8413-315FCDE2E980}" name="Cash" dataDxfId="327" dataCellStyle="Comma"/>
    <tableColumn id="10" xr3:uid="{378DB970-CA82-4C87-BC1A-C7FCD3991454}" name="Account Transfer" dataDxfId="326" dataCellStyle="Comma"/>
    <tableColumn id="4" xr3:uid="{2C899071-5CC5-4E2E-AB14-343037D40A57}" name="Expense" dataDxfId="325" dataCellStyle="Comma"/>
    <tableColumn id="6" xr3:uid="{1A3B68B6-8705-432B-805D-9CC321CBB167}" name="Expense Online" dataDxfId="324" dataCellStyle="Comma"/>
    <tableColumn id="12" xr3:uid="{91925008-FFBF-4345-A7DE-07A1D35C310F}" name="Account Balance" dataDxfId="323" dataCellStyle="Comma">
      <calculatedColumnFormula>Table2345345687911121514161718192021222324252627283456789101134567891011126789[[#This Row],[Account Transfer]]-Table2345345687911121514161718192021222324252627283456789101134567891011126789[[#This Row],[Expense Online]]</calculatedColumnFormula>
    </tableColumn>
    <tableColumn id="7" xr3:uid="{3FE5D21F-564A-4F79-8C37-B1D55177A854}" name="cash on hand" dataDxfId="322" dataCellStyle="Comma">
      <calculatedColumnFormula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calculatedColumnFormula>
    </tableColumn>
    <tableColumn id="13" xr3:uid="{5F31607C-1421-4C6B-859B-2823731A20C7}" name="Actual Balance" dataDxfId="321" dataCellStyle="Comma">
      <calculatedColumnFormula>Table2345345687911121514161718192021222324252627283456789101134567891011126789[[#This Row],[Cash]]-Table2345345687911121514161718192021222324252627283456789101134567891011126789[[#This Row],[Expense]]</calculatedColumnFormula>
    </tableColumn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9C7A4-14C6-4F01-B432-2DB785FF5D90}" name="Table234534568791112151416171819202122232425262728345678910113456789101112" displayName="Table234534568791112151416171819202122232425262728345678910113456789101112" ref="A1:M33" totalsRowShown="0" headerRowDxfId="320" dataDxfId="318" headerRowBorderDxfId="319" tableBorderDxfId="317" totalsRowBorderDxfId="316">
  <tableColumns count="13">
    <tableColumn id="1" xr3:uid="{820168C1-A36A-4C8F-BE9C-3C800C4ABBBE}" name="Date" dataDxfId="315"/>
    <tableColumn id="9" xr3:uid="{C01F4A8C-0BFA-4143-AA6E-28B92BBA07D2}" name="Actual Profit" dataDxfId="314" dataCellStyle="Comma">
      <calculatedColumnFormula>Table2345345687911121514161718192021222324252627283456789101134567891011126789[[#This Row],[Profit]]-Table2345345687911121514161718192021222324252627283456789101134567891011126789[[#This Row],[Mulbhag]]</calculatedColumnFormula>
    </tableColumn>
    <tableColumn id="8" xr3:uid="{2AF81E1D-074D-4B29-8656-79F7913C068D}" name="Mulbhag" dataDxfId="313" dataCellStyle="Comma">
      <calculatedColumnFormula>Table234534568791112151416171819202122232425262728345678910113456789101112[[#This Row],[Profit]]/3</calculatedColumnFormula>
    </tableColumn>
    <tableColumn id="2" xr3:uid="{5CDB1843-F536-4D43-9CA2-D51A58E74036}" name="Profit" dataDxfId="312" dataCellStyle="Comma">
      <calculatedColumnFormula>F2*0.3</calculatedColumnFormula>
    </tableColumn>
    <tableColumn id="3" xr3:uid="{FDD9A58C-EA69-4D75-B0FF-EA407FCB1900}" name="Actual" dataDxfId="311" dataCellStyle="Comma">
      <calculatedColumnFormula>F2-D2</calculatedColumnFormula>
    </tableColumn>
    <tableColumn id="5" xr3:uid="{C8703442-47CD-496C-9F53-FF877D718394}" name="Total" dataDxfId="310" dataCellStyle="Comma">
      <calculatedColumnFormula>G2+H2</calculatedColumnFormula>
    </tableColumn>
    <tableColumn id="11" xr3:uid="{2E3B437B-A813-43C5-9550-7A04F7002E49}" name="Cash" dataDxfId="309" dataCellStyle="Comma"/>
    <tableColumn id="10" xr3:uid="{2AE7C7B9-1D92-40A1-9BBD-FBCE2F02BCDE}" name="Account Transfer" dataDxfId="308" dataCellStyle="Comma"/>
    <tableColumn id="4" xr3:uid="{ECF0CC43-0D90-4AB7-A523-D73129091C38}" name="Expense" dataDxfId="307" dataCellStyle="Comma"/>
    <tableColumn id="6" xr3:uid="{3B8F39B8-B503-411C-BE73-7CCDA9F98F16}" name="Expense Online" dataDxfId="306" dataCellStyle="Comma"/>
    <tableColumn id="12" xr3:uid="{E4632947-A710-4E8D-89A5-68D27A07AE67}" name="Account Balance" dataDxfId="305" dataCellStyle="Comma">
      <calculatedColumnFormula>Table2345345687911121514161718192021222324252627283456789101134567891011126789[[#This Row],[Account Transfer]]-Table2345345687911121514161718192021222324252627283456789101134567891011126789[[#This Row],[Expense Online]]</calculatedColumnFormula>
    </tableColumn>
    <tableColumn id="7" xr3:uid="{EAE2FC9F-F232-4EED-9F53-E55EF51E983A}" name="cash on hand" dataDxfId="304" dataCellStyle="Comma">
      <calculatedColumnFormula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calculatedColumnFormula>
    </tableColumn>
    <tableColumn id="13" xr3:uid="{037F16F5-2A90-40FB-9D84-0E2AF1F3047C}" name="Actual Balance" dataDxfId="303" dataCellStyle="Comma">
      <calculatedColumnFormula>Table2345345687911121514161718192021222324252627283456789101134567891011126789[[#This Row],[Cash]]-Table2345345687911121514161718192021222324252627283456789101134567891011126789[[#This Row],[Expense]]</calculatedColumnFormula>
    </tableColumn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A3811-1A26-4FF0-BECF-36DB154F7FC4}" name="Table2345345687911121514161718192021222324252627283456789101134567891011123" displayName="Table2345345687911121514161718192021222324252627283456789101134567891011123" ref="A1:F76" totalsRowShown="0" headerRowDxfId="295" dataDxfId="293" headerRowBorderDxfId="294" tableBorderDxfId="292" totalsRowBorderDxfId="291">
  <tableColumns count="6">
    <tableColumn id="1" xr3:uid="{6EC105DB-AFDF-4D82-A2DC-5FB580B87844}" name="Date" dataDxfId="290"/>
    <tableColumn id="11" xr3:uid="{FAD3574A-1C34-48AA-BB9B-AB9B2E236AFF}" name="Cash" dataDxfId="289" dataCellStyle="Currency"/>
    <tableColumn id="10" xr3:uid="{0AC40741-8418-4AE3-9AE3-67185B6333C9}" name="Account Transfer" dataDxfId="288" dataCellStyle="Currency"/>
    <tableColumn id="14" xr3:uid="{04276E19-BCD6-4761-AD0B-EEB5B39FBE5A}" name="Total" dataDxfId="287" dataCellStyle="Currency">
      <calculatedColumnFormula>Table2345345687911121514161718192021222324252627283456789101134567891011123[[#This Row],[Cash]]+Table2345345687911121514161718192021222324252627283456789101134567891011123[[#This Row],[Account Transfer]]</calculatedColumnFormula>
    </tableColumn>
    <tableColumn id="5" xr3:uid="{94DD8A1D-DABA-44B0-B67C-743D5BC943EB}" name="Remarks" dataDxfId="286" dataCellStyle="Comma"/>
    <tableColumn id="2" xr3:uid="{3506A189-D3DE-47F2-86EA-F96A92289E6A}" name="Type of Expemse" dataDxfId="285"/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E9558B-A0BB-4154-88DA-82281F2ACD8D}" name="Table2345345687911121514161718192021222324252627283456789101134567891011124" displayName="Table2345345687911121514161718192021222324252627283456789101134567891011124" ref="A1:N33" totalsRowShown="0" headerRowDxfId="284" dataDxfId="282" headerRowBorderDxfId="283" tableBorderDxfId="281" totalsRowBorderDxfId="280">
  <tableColumns count="14">
    <tableColumn id="1" xr3:uid="{28C0E99E-7E1D-4304-8B1D-178495028F19}" name="Date" dataDxfId="279"/>
    <tableColumn id="9" xr3:uid="{206CFB87-8291-4934-B12C-32DD05D931EE}" name="Actual Profit" dataDxfId="278" dataCellStyle="Comma">
      <calculatedColumnFormula>Table2345345687911121514161718192021222324252627283456789101134567891011124[[#This Row],[Profit]]-Table2345345687911121514161718192021222324252627283456789101134567891011124[[#This Row],[Mulbhag]]</calculatedColumnFormula>
    </tableColumn>
    <tableColumn id="8" xr3:uid="{2248560D-0C29-4F8B-83A4-2C32163F959F}" name="Mulbhag" dataDxfId="277" dataCellStyle="Comma">
      <calculatedColumnFormula>Table2345345687911121514161718192021222324252627283456789101134567891011124[[#This Row],[Profit]]/3</calculatedColumnFormula>
    </tableColumn>
    <tableColumn id="2" xr3:uid="{79618468-0450-4B52-9807-0C8EF3A8AFE9}" name="Profit" dataDxfId="276" dataCellStyle="Comma">
      <calculatedColumnFormula>F2*0.3</calculatedColumnFormula>
    </tableColumn>
    <tableColumn id="3" xr3:uid="{3AF9E535-0834-4D20-B37D-D154C6DF7100}" name="Actual" dataDxfId="275" dataCellStyle="Comma">
      <calculatedColumnFormula>F2-D2</calculatedColumnFormula>
    </tableColumn>
    <tableColumn id="5" xr3:uid="{83E4CBE5-9306-4315-B6AD-695D9BEA9790}" name="Total" dataDxfId="274" dataCellStyle="Comma">
      <calculatedColumnFormula>G2+H2</calculatedColumnFormula>
    </tableColumn>
    <tableColumn id="11" xr3:uid="{FDD148F2-FE27-47E6-83FD-2BC605F98D46}" name="Cash" dataDxfId="273" dataCellStyle="Comma"/>
    <tableColumn id="10" xr3:uid="{9DD387AE-3E03-4E4C-AABE-5FDBA78CC845}" name="Account Transfer" dataDxfId="272" dataCellStyle="Comma"/>
    <tableColumn id="4" xr3:uid="{DF7DF415-5D5D-427F-91A8-6717DAC8A293}" name="Expense" dataDxfId="271" dataCellStyle="Comma"/>
    <tableColumn id="6" xr3:uid="{DDB8E861-7E85-490E-82BA-9A556F888818}" name="Expense Online" dataDxfId="270" dataCellStyle="Comma"/>
    <tableColumn id="12" xr3:uid="{0C0984D9-1EC1-4D53-85EC-7AD932B94637}" name="Account Balance" dataDxfId="269" dataCellStyle="Comma">
      <calculatedColumnFormula>Table2345345687911121514161718192021222324252627283456789101134567891011124[[#This Row],[Account Transfer]]-Table2345345687911121514161718192021222324252627283456789101134567891011124[[#This Row],[Expense Online]]</calculatedColumnFormula>
    </tableColumn>
    <tableColumn id="7" xr3:uid="{5CF96B11-DA3C-4894-88E7-9729D09E9367}" name="cash on hand" dataDxfId="268" dataCellStyle="Comma">
      <calculatedColumnFormula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calculatedColumnFormula>
    </tableColumn>
    <tableColumn id="13" xr3:uid="{197E5788-E2A0-4B3E-9EFE-50DC49AA831A}" name="Actual Balance" dataDxfId="267" dataCellStyle="Comma">
      <calculatedColumnFormula>Table2345345687911121514161718192021222324252627283456789101134567891011124[[#This Row],[Cash]]-Table2345345687911121514161718192021222324252627283456789101134567891011124[[#This Row],[Expense]]</calculatedColumnFormula>
    </tableColumn>
    <tableColumn id="14" xr3:uid="{39CBA257-70C6-4404-BE35-0378F0E649C3}" name="Column1" dataDxfId="266" dataCellStyle="Comma"/>
  </tableColumns>
  <tableStyleInfo name="TableStyleDark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6B737-6858-4C78-9F83-E4CDD580C188}" name="Table23453456879111215141617181920212223242526272834567891011345678910111235" displayName="Table23453456879111215141617181920212223242526272834567891011345678910111235" ref="A1:F218" totalsRowShown="0" headerRowDxfId="258" dataDxfId="256" headerRowBorderDxfId="257" tableBorderDxfId="255" totalsRowBorderDxfId="254">
  <tableColumns count="6">
    <tableColumn id="1" xr3:uid="{C0F39AFA-7C80-40BB-BC7A-05B99C4B81EF}" name="Date" dataDxfId="253"/>
    <tableColumn id="11" xr3:uid="{E8C075A1-5A79-49CF-95A2-50219CD40F0A}" name="Cash" dataDxfId="252" dataCellStyle="Currency"/>
    <tableColumn id="10" xr3:uid="{41B27FD3-0AD2-4980-9106-1B5FA611610B}" name="Account Transfer" dataDxfId="251" dataCellStyle="Currency"/>
    <tableColumn id="14" xr3:uid="{2C4C6556-18A1-4489-8D20-66FC00E87ED1}" name="Total" dataDxfId="250" dataCellStyle="Currency">
      <calculatedColumnFormula>Table23453456879111215141617181920212223242526272834567891011345678910111235[[#This Row],[Cash]]+Table23453456879111215141617181920212223242526272834567891011345678910111235[[#This Row],[Account Transfer]]</calculatedColumnFormula>
    </tableColumn>
    <tableColumn id="5" xr3:uid="{7457840F-2F5F-4DCF-9396-EF17489AF314}" name="Remarks" dataDxfId="249" dataCellStyle="Comma"/>
    <tableColumn id="2" xr3:uid="{14DA751F-B338-45A4-B113-079524F1CB84}" name="Type of Expemse" dataDxfId="248"/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C43F31-2E70-4ADD-845C-0F268570DAF0}" name="Table234534568791112151416171819202122232425262728345678910113456789101112410" displayName="Table234534568791112151416171819202122232425262728345678910113456789101112410" ref="A1:N33" totalsRowShown="0" headerRowDxfId="247" dataDxfId="245" headerRowBorderDxfId="246" tableBorderDxfId="244" totalsRowBorderDxfId="243">
  <tableColumns count="14">
    <tableColumn id="1" xr3:uid="{D48AE360-3640-4EBA-8786-33C02C86E2AB}" name="Date" dataDxfId="242"/>
    <tableColumn id="9" xr3:uid="{B5D1C499-7AD0-489D-9275-A3DF686B650A}" name="Actual Profit" dataDxfId="241" dataCellStyle="Comma">
      <calculatedColumnFormula>Table234534568791112151416171819202122232425262728345678910113456789101112410[[#This Row],[Profit]]-Table234534568791112151416171819202122232425262728345678910113456789101112410[[#This Row],[Mulbhag]]</calculatedColumnFormula>
    </tableColumn>
    <tableColumn id="8" xr3:uid="{AD820C6E-4D71-4635-9EF6-FB3DD514BBA1}" name="Mulbhag" dataDxfId="240" dataCellStyle="Comma">
      <calculatedColumnFormula>Table234534568791112151416171819202122232425262728345678910113456789101112410[[#This Row],[Profit]]/3</calculatedColumnFormula>
    </tableColumn>
    <tableColumn id="2" xr3:uid="{B0C81996-C3FA-48EA-98EB-1BD873C127BB}" name="Profit" dataDxfId="239" dataCellStyle="Comma">
      <calculatedColumnFormula>F2*0.3</calculatedColumnFormula>
    </tableColumn>
    <tableColumn id="3" xr3:uid="{759FEF4C-07F2-474C-BA84-83592009EB39}" name="Actual" dataDxfId="238" dataCellStyle="Comma">
      <calculatedColumnFormula>F2-D2</calculatedColumnFormula>
    </tableColumn>
    <tableColumn id="5" xr3:uid="{99280614-9845-4210-9FD1-725B2F1553EC}" name="Total" dataDxfId="237" dataCellStyle="Comma">
      <calculatedColumnFormula>G2+H2</calculatedColumnFormula>
    </tableColumn>
    <tableColumn id="11" xr3:uid="{084E39AD-B9FE-4536-9033-72D04E206355}" name="Cash" dataDxfId="236" dataCellStyle="Comma"/>
    <tableColumn id="10" xr3:uid="{C2033737-C6B4-4B56-8810-3E3CFB424334}" name="Account Transfer" dataDxfId="235" dataCellStyle="Comma"/>
    <tableColumn id="4" xr3:uid="{FDA482B6-1096-48EA-97E4-46AE2C35DBC0}" name="Expense" dataDxfId="234" dataCellStyle="Comma"/>
    <tableColumn id="6" xr3:uid="{845BD7E1-557D-413E-8368-F3D683F64E63}" name="Expense Online" dataDxfId="233" dataCellStyle="Comma"/>
    <tableColumn id="12" xr3:uid="{8A102904-CF72-4D26-BCFA-E16E9B565EB0}" name="Account Balance" dataDxfId="232" dataCellStyle="Comma">
      <calculatedColumnFormula>Table234534568791112151416171819202122232425262728345678910113456789101112410[[#This Row],[Account Transfer]]-Table234534568791112151416171819202122232425262728345678910113456789101112410[[#This Row],[Expense Online]]</calculatedColumnFormula>
    </tableColumn>
    <tableColumn id="7" xr3:uid="{98134551-5CE2-4446-8D68-235982A782A1}" name="cash on hand" dataDxfId="231" dataCellStyle="Comma">
      <calculatedColumnFormula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calculatedColumnFormula>
    </tableColumn>
    <tableColumn id="13" xr3:uid="{662A2C2C-1CF7-469F-8CCF-B6B919873001}" name="Actual Balance" dataDxfId="230" dataCellStyle="Comma">
      <calculatedColumnFormula>Table234534568791112151416171819202122232425262728345678910113456789101112410[[#This Row],[Cash]]-Table234534568791112151416171819202122232425262728345678910113456789101112410[[#This Row],[Expense]]</calculatedColumnFormula>
    </tableColumn>
    <tableColumn id="14" xr3:uid="{DDF5233E-BF45-49D9-8D6C-707BE4062E2D}" name="Column1" dataDxfId="229" dataCellStyle="Comma"/>
  </tableColumns>
  <tableStyleInfo name="TableStyleDark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BCC5A3-5451-4644-A333-C47CE5EF0C8A}" name="Table2345345687911121514161718192021222324252627283456789101134567891011123511" displayName="Table2345345687911121514161718192021222324252627283456789101134567891011123511" ref="A1:F223" totalsRowShown="0" headerRowDxfId="221" dataDxfId="219" headerRowBorderDxfId="220" tableBorderDxfId="218" totalsRowBorderDxfId="217">
  <tableColumns count="6">
    <tableColumn id="1" xr3:uid="{93140E3A-E50A-4AFB-AF55-6F39DCB11DA6}" name="Date" dataDxfId="216"/>
    <tableColumn id="11" xr3:uid="{D418EA02-621A-4BB4-B24A-1341C3E46979}" name="Cash" dataDxfId="215" dataCellStyle="Currency"/>
    <tableColumn id="10" xr3:uid="{00D138A8-13DA-4414-9593-B94EE8BA4EF8}" name="Account Transfer" dataDxfId="214" dataCellStyle="Currency"/>
    <tableColumn id="14" xr3:uid="{9AE70564-3569-405A-B2DF-C1FF41EBEB41}" name="Total" dataDxfId="213" dataCellStyle="Currency">
      <calculatedColumnFormula>Table23453456879111215141617181920212223242526272834567891011345678910111235[[#This Row],[Cash]]+Table23453456879111215141617181920212223242526272834567891011345678910111235[[#This Row],[Account Transfer]]</calculatedColumnFormula>
    </tableColumn>
    <tableColumn id="5" xr3:uid="{C14F3992-B755-4E2B-B841-06B4A3BA7AFF}" name="Remarks" dataDxfId="212" dataCellStyle="Comma"/>
    <tableColumn id="2" xr3:uid="{8DECBEAE-C969-472A-9554-06CFC52D8622}" name="Type of Expense" dataDxfId="211"/>
  </tableColumns>
  <tableStyleInfo name="TableStyleDark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9B5CFD-C77F-4102-B77F-A078E24B3BBA}" name="Table23453456879111215141617181920212223242526272834567891011345678910111241012" displayName="Table23453456879111215141617181920212223242526272834567891011345678910111241012" ref="A1:N33" totalsRowShown="0" headerRowDxfId="210" dataDxfId="208" headerRowBorderDxfId="209" tableBorderDxfId="207" totalsRowBorderDxfId="206">
  <tableColumns count="14">
    <tableColumn id="1" xr3:uid="{5FC38D4A-EAA0-4B60-AAC7-4561E0456303}" name="Date" dataDxfId="205"/>
    <tableColumn id="9" xr3:uid="{7F4CC850-FC69-4AFC-873C-D77D2BC662B6}" name="Actual Profit" dataDxfId="204" dataCellStyle="Comma">
      <calculatedColumnFormula>Table23453456879111215141617181920212223242526272834567891011345678910111241012[[#This Row],[Profit]]-Table23453456879111215141617181920212223242526272834567891011345678910111241012[[#This Row],[Mulbhag]]</calculatedColumnFormula>
    </tableColumn>
    <tableColumn id="8" xr3:uid="{1CF90093-DD9F-4E9F-A921-FA933B633A3A}" name="Mulbhag" dataDxfId="203" dataCellStyle="Comma">
      <calculatedColumnFormula>Table23453456879111215141617181920212223242526272834567891011345678910111241012[[#This Row],[Profit]]/3</calculatedColumnFormula>
    </tableColumn>
    <tableColumn id="2" xr3:uid="{C83F27F0-CB31-4D55-9BB9-DC8D503239B4}" name="Profit" dataDxfId="202" dataCellStyle="Comma">
      <calculatedColumnFormula>F2*0.3</calculatedColumnFormula>
    </tableColumn>
    <tableColumn id="3" xr3:uid="{941CE575-259D-4257-9589-A1950E9D52C9}" name="Actual" dataDxfId="201" dataCellStyle="Comma">
      <calculatedColumnFormula>F2-D2</calculatedColumnFormula>
    </tableColumn>
    <tableColumn id="5" xr3:uid="{70BD56DF-AF69-4AF0-BC03-AD93816D0DD1}" name="Total" dataDxfId="200" dataCellStyle="Comma">
      <calculatedColumnFormula>G2+H2</calculatedColumnFormula>
    </tableColumn>
    <tableColumn id="11" xr3:uid="{981DFBAD-2F66-41D7-8770-63DF930E2CB8}" name="Cash" dataDxfId="199" dataCellStyle="Comma"/>
    <tableColumn id="10" xr3:uid="{90F9E16E-871E-47D8-9685-2E92F7DBF3BB}" name="Account Transfer" dataDxfId="198" dataCellStyle="Comma"/>
    <tableColumn id="4" xr3:uid="{8093D0D4-AE80-4DD8-BC53-15A3FDCF37A3}" name="Expense" dataDxfId="197" dataCellStyle="Comma"/>
    <tableColumn id="6" xr3:uid="{675B250F-054D-4CDD-8805-A46DF0DEF23A}" name="Expense Online" dataDxfId="196" dataCellStyle="Comma"/>
    <tableColumn id="12" xr3:uid="{F2153A9C-4A09-4C1F-899B-80A990CD3773}" name="x" dataDxfId="195" dataCellStyle="Comma">
      <calculatedColumnFormula>Table23453456879111215141617181920212223242526272834567891011345678910111241012[[#This Row],[Account Transfer]]-Table23453456879111215141617181920212223242526272834567891011345678910111241012[[#This Row],[Expense Online]]</calculatedColumnFormula>
    </tableColumn>
    <tableColumn id="7" xr3:uid="{A892CAC9-8DC0-4FB4-8B67-8BF3F3833C2B}" name="cash on hand" dataDxfId="194" dataCellStyle="Comma">
      <calculatedColumnFormula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calculatedColumnFormula>
    </tableColumn>
    <tableColumn id="13" xr3:uid="{29F45539-5C6C-4790-A856-DFB597C12089}" name="Actual Balance" dataDxfId="193" dataCellStyle="Comma">
      <calculatedColumnFormula>Table23453456879111215141617181920212223242526272834567891011345678910111241012[[#This Row],[Cash]]-Table23453456879111215141617181920212223242526272834567891011345678910111241012[[#This Row],[Expense]]</calculatedColumnFormula>
    </tableColumn>
    <tableColumn id="14" xr3:uid="{97A921B0-690A-423F-A71E-80A79A2DF9C3}" name="Column1" dataDxfId="192" dataCellStyle="Comma"/>
  </tableColumns>
  <tableStyleInfo name="TableStyleDark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7CC2F3-2330-4315-A84A-C6EF940F0015}" name="Table234534568791112151416171819202122232425262728345678910113456789101112351113" displayName="Table234534568791112151416171819202122232425262728345678910113456789101112351113" ref="A1:F224" totalsRowShown="0" headerRowDxfId="185" dataDxfId="183" headerRowBorderDxfId="184" tableBorderDxfId="182" totalsRowBorderDxfId="181">
  <tableColumns count="6">
    <tableColumn id="1" xr3:uid="{0BD45E71-278D-4516-83CB-536166139679}" name="Date" dataDxfId="180"/>
    <tableColumn id="11" xr3:uid="{6C2227B0-862D-4BB3-9E41-A92858822F5D}" name="Cash" dataDxfId="179" dataCellStyle="Currency"/>
    <tableColumn id="10" xr3:uid="{BD37A043-8E11-4B7D-99BA-85E42ABCEACF}" name="Account Transfer" dataDxfId="178" dataCellStyle="Currency"/>
    <tableColumn id="14" xr3:uid="{CD2CE467-5792-4B5D-B71F-0A7AA2A67C90}" name="Total" dataDxfId="177" dataCellStyle="Currency">
      <calculatedColumnFormula>Table23453456879111215141617181920212223242526272834567891011345678910111235[[#This Row],[Cash]]+Table23453456879111215141617181920212223242526272834567891011345678910111235[[#This Row],[Account Transfer]]</calculatedColumnFormula>
    </tableColumn>
    <tableColumn id="5" xr3:uid="{6ADC04D7-37A9-4B37-9ED6-42962417C0A7}" name="Remarks" dataDxfId="176" dataCellStyle="Comma"/>
    <tableColumn id="2" xr3:uid="{ADF116E3-D430-42DB-80ED-DE2E65B890C9}" name="Type of Expense" dataDxfId="175"/>
  </tableColumns>
  <tableStyleInfo name="TableStyleDark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50A414-C322-4D7B-9090-373BA91EA059}" name="Table2345345687911121514161718192021222324252627283456789101134567891011124101215" displayName="Table2345345687911121514161718192021222324252627283456789101134567891011124101215" ref="A1:N33" totalsRowShown="0" headerRowDxfId="174" dataDxfId="172" headerRowBorderDxfId="173" tableBorderDxfId="171" totalsRowBorderDxfId="170">
  <tableColumns count="14">
    <tableColumn id="1" xr3:uid="{5FD0F951-8E7D-4106-9B89-FC21A1863F59}" name="Date" dataDxfId="169"/>
    <tableColumn id="9" xr3:uid="{7A757D73-9208-44BD-8ADE-8A2D850D434A}" name="Actual Profit" dataDxfId="168" dataCellStyle="Comma">
      <calculatedColumnFormula>Table2345345687911121514161718192021222324252627283456789101134567891011124101215[[#This Row],[Profit]]-Table2345345687911121514161718192021222324252627283456789101134567891011124101215[[#This Row],[Mulbhag]]</calculatedColumnFormula>
    </tableColumn>
    <tableColumn id="8" xr3:uid="{C8FBF5A1-8C22-4D26-B156-22FF26C82941}" name="Mulbhag" dataDxfId="167" dataCellStyle="Comma">
      <calculatedColumnFormula>Table2345345687911121514161718192021222324252627283456789101134567891011124101215[[#This Row],[Profit]]/3</calculatedColumnFormula>
    </tableColumn>
    <tableColumn id="2" xr3:uid="{DA628724-FD37-4F81-86E1-6EC76A9FCB08}" name="Profit" dataDxfId="166" dataCellStyle="Comma">
      <calculatedColumnFormula>F2*0.3</calculatedColumnFormula>
    </tableColumn>
    <tableColumn id="3" xr3:uid="{F4ABFC1B-C911-4367-AC16-37A8E8062EC7}" name="Actual" dataDxfId="165" dataCellStyle="Comma">
      <calculatedColumnFormula>F2-D2</calculatedColumnFormula>
    </tableColumn>
    <tableColumn id="5" xr3:uid="{ACD5DE36-9DB7-4E65-B808-21A56F4DE93D}" name="Total" dataDxfId="164" dataCellStyle="Comma">
      <calculatedColumnFormula>G2+H2</calculatedColumnFormula>
    </tableColumn>
    <tableColumn id="11" xr3:uid="{CE6643A6-DC48-4409-8ADB-2219424E9FD8}" name="Cash" dataDxfId="163" dataCellStyle="Comma"/>
    <tableColumn id="10" xr3:uid="{437A35C3-CBF4-4F42-9277-7181E66AC3B9}" name="Account Transfer" dataDxfId="162" dataCellStyle="Comma"/>
    <tableColumn id="4" xr3:uid="{D7D262A8-B889-40F4-A66B-1EF026A0218D}" name="Expense" dataDxfId="161" dataCellStyle="Comma"/>
    <tableColumn id="6" xr3:uid="{9D4B5C1B-7A2F-4232-8B34-9DFF7B0010A6}" name="Expense Online" dataDxfId="160" dataCellStyle="Comma"/>
    <tableColumn id="12" xr3:uid="{5D22F33E-7A63-41CE-A95B-0FF6A35754D9}" name="x" dataDxfId="159" dataCellStyle="Comma">
      <calculatedColumnFormula>Table2345345687911121514161718192021222324252627283456789101134567891011124101215[[#This Row],[Account Transfer]]-Table2345345687911121514161718192021222324252627283456789101134567891011124101215[[#This Row],[Expense Online]]</calculatedColumnFormula>
    </tableColumn>
    <tableColumn id="7" xr3:uid="{227FE9A7-7E17-4554-AD33-9276B568C29D}" name="cash on hand" dataDxfId="158" dataCellStyle="Comma">
      <calculatedColumnFormula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calculatedColumnFormula>
    </tableColumn>
    <tableColumn id="13" xr3:uid="{E9D82B6E-E707-4FD8-9A1B-F0BD136CEE78}" name="Actual Balance" dataDxfId="157" dataCellStyle="Comma">
      <calculatedColumnFormula>Table2345345687911121514161718192021222324252627283456789101134567891011124101215[[#This Row],[Cash]]-Table2345345687911121514161718192021222324252627283456789101134567891011124101215[[#This Row],[Expense]]</calculatedColumnFormula>
    </tableColumn>
    <tableColumn id="14" xr3:uid="{5DD1183D-81C3-4582-B299-97D53E9B9821}" name="Column1" dataDxfId="156" dataCellStyle="Comma"/>
  </tableColumns>
  <tableStyleInfo name="TableStyleDark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95E52A8-903B-400F-89E1-26A394970C81}" name="Table23453456879111215141617181920212223242526272834567891011345678910111235111314" displayName="Table23453456879111215141617181920212223242526272834567891011345678910111235111314" ref="A1:F228" totalsRowShown="0" headerRowDxfId="149" dataDxfId="147" headerRowBorderDxfId="148" tableBorderDxfId="146" totalsRowBorderDxfId="145">
  <tableColumns count="6">
    <tableColumn id="1" xr3:uid="{E4733EA8-938C-4B57-88A7-D14CA79220A2}" name="Date" dataDxfId="144"/>
    <tableColumn id="11" xr3:uid="{CD046508-2BBE-41B9-970B-5B21FCF0836B}" name="Cash" dataDxfId="143" dataCellStyle="Currency"/>
    <tableColumn id="10" xr3:uid="{0335A881-8822-454C-A3B3-3BBB1E9638C2}" name="Account Transfer" dataDxfId="142" dataCellStyle="Currency"/>
    <tableColumn id="14" xr3:uid="{98ED5832-35D3-497F-A383-932B0A5AC42D}" name="Total" dataDxfId="141" dataCellStyle="Currency">
      <calculatedColumnFormula>Table23453456879111215141617181920212223242526272834567891011345678910111235[[#This Row],[Cash]]+Table23453456879111215141617181920212223242526272834567891011345678910111235[[#This Row],[Account Transfer]]</calculatedColumnFormula>
    </tableColumn>
    <tableColumn id="5" xr3:uid="{336464DB-BE54-4458-AB95-9C70B35BEF15}" name="Remarks" dataDxfId="140" dataCellStyle="Comma"/>
    <tableColumn id="2" xr3:uid="{01180816-C13D-45E5-A56E-F44E6C24165E}" name="Type of Expense" dataDxfId="139"/>
  </tableColumns>
  <tableStyleInfo name="TableStyleDark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E117D7-C9C0-4B35-8FAD-2E19850A56FE}" name="Table234534568791112151416171819202122232425262728345678910113456789101112410121516" displayName="Table234534568791112151416171819202122232425262728345678910113456789101112410121516" ref="A1:N33" totalsRowShown="0" headerRowDxfId="138" dataDxfId="136" headerRowBorderDxfId="137" tableBorderDxfId="135" totalsRowBorderDxfId="134">
  <tableColumns count="14">
    <tableColumn id="1" xr3:uid="{525E0564-D3E2-44B7-A6E5-4F67031F8498}" name="Date" dataDxfId="133"/>
    <tableColumn id="9" xr3:uid="{586FC469-01D0-4E93-9D06-A79F7EE31A95}" name="Actual Profit" dataDxfId="132" dataCellStyle="Comma">
      <calculatedColumnFormula>Table234534568791112151416171819202122232425262728345678910113456789101112410121516[[#This Row],[Profit]]-Table234534568791112151416171819202122232425262728345678910113456789101112410121516[[#This Row],[Mulbhag]]</calculatedColumnFormula>
    </tableColumn>
    <tableColumn id="8" xr3:uid="{9ADEF3BB-DB91-4FA2-9BBC-72F48E80AD3B}" name="Mulbhag" dataDxfId="131" dataCellStyle="Comma">
      <calculatedColumnFormula>Table234534568791112151416171819202122232425262728345678910113456789101112410121516[[#This Row],[Profit]]/3</calculatedColumnFormula>
    </tableColumn>
    <tableColumn id="2" xr3:uid="{0EA63BBE-D738-44A5-B29E-50A65E828EB9}" name="Profit" dataDxfId="130" dataCellStyle="Comma">
      <calculatedColumnFormula>F2*0.3</calculatedColumnFormula>
    </tableColumn>
    <tableColumn id="3" xr3:uid="{897F9BF0-40C6-41A4-9974-B1667D622CF8}" name="Actual" dataDxfId="129" dataCellStyle="Comma">
      <calculatedColumnFormula>F2-D2</calculatedColumnFormula>
    </tableColumn>
    <tableColumn id="5" xr3:uid="{7A5ED0B7-8886-422C-90AB-51C770B51F6A}" name="Total" dataDxfId="128" dataCellStyle="Comma">
      <calculatedColumnFormula>G2+H2</calculatedColumnFormula>
    </tableColumn>
    <tableColumn id="11" xr3:uid="{C6BE413C-B67B-4BE2-A042-30F4E465C3A4}" name="Cash" dataDxfId="127" dataCellStyle="Comma"/>
    <tableColumn id="10" xr3:uid="{9FC32EF0-16C0-4607-9AFF-28D48A62897B}" name="Account Transfer" dataDxfId="126" dataCellStyle="Comma"/>
    <tableColumn id="4" xr3:uid="{6FB941FC-AE8B-4BB8-8467-BD27D232B2BA}" name="Expense" dataDxfId="125" dataCellStyle="Comma"/>
    <tableColumn id="6" xr3:uid="{308C286F-00DD-4F91-B828-A4E5B92359B0}" name="Expense Online" dataDxfId="124" dataCellStyle="Comma"/>
    <tableColumn id="12" xr3:uid="{176D14A3-B1C8-4E5F-BCB1-197F3EC93168}" name="x" dataDxfId="123" dataCellStyle="Comma">
      <calculatedColumnFormula>Table234534568791112151416171819202122232425262728345678910113456789101112410121516[[#This Row],[Account Transfer]]-Table234534568791112151416171819202122232425262728345678910113456789101112410121516[[#This Row],[Expense Online]]</calculatedColumnFormula>
    </tableColumn>
    <tableColumn id="7" xr3:uid="{09FA1642-04DA-4B9E-A480-299BA8E8614F}" name="cash on hand" dataDxfId="122" dataCellStyle="Comma">
      <calculatedColumnFormula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calculatedColumnFormula>
    </tableColumn>
    <tableColumn id="13" xr3:uid="{4BE881C6-1578-47A5-B785-98AFD54D8B56}" name="Actual Balance" dataDxfId="121" dataCellStyle="Comma">
      <calculatedColumnFormula>Table234534568791112151416171819202122232425262728345678910113456789101112410121516[[#This Row],[Cash]]-Table234534568791112151416171819202122232425262728345678910113456789101112410121516[[#This Row],[Expense]]</calculatedColumnFormula>
    </tableColumn>
    <tableColumn id="14" xr3:uid="{C21C3ED2-6763-4855-AE07-AF35FA75A448}" name="Column1" dataDxfId="120" dataCellStyle="Comma"/>
  </tableColumns>
  <tableStyleInfo name="TableStyleDark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2954BA-38E9-4D3A-9E15-C0E367594A52}" name="Table2345345687911121514161718192021222324252627283456789101134567891011123511131417" displayName="Table2345345687911121514161718192021222324252627283456789101134567891011123511131417" ref="A1:F228" totalsRowShown="0" headerRowDxfId="113" dataDxfId="111" headerRowBorderDxfId="112" tableBorderDxfId="110" totalsRowBorderDxfId="109">
  <tableColumns count="6">
    <tableColumn id="1" xr3:uid="{11F347FC-904A-4B7B-9B86-DFA51946856C}" name="Date" dataDxfId="108"/>
    <tableColumn id="11" xr3:uid="{E20AEDC3-491F-4342-BC01-E6D7077676F9}" name="Cash" dataDxfId="107" dataCellStyle="Currency"/>
    <tableColumn id="10" xr3:uid="{CF0D2039-6DA9-4776-9BC7-5BBFB81C7DE9}" name="Account Transfer" dataDxfId="106" dataCellStyle="Currency"/>
    <tableColumn id="14" xr3:uid="{00DE1560-ADD2-4EFA-ACD0-D10753733F64}" name="Total" dataDxfId="105" dataCellStyle="Currency">
      <calculatedColumnFormula>Table2345345687911121514161718192021222324252627283456789101134567891011123511131417[[#This Row],[Cash]]+Table2345345687911121514161718192021222324252627283456789101134567891011123511131417[[#This Row],[Account Transfer]]</calculatedColumnFormula>
    </tableColumn>
    <tableColumn id="5" xr3:uid="{98470358-C70D-42C0-B770-012A08F99F58}" name="Remarks" dataDxfId="104" dataCellStyle="Comma"/>
    <tableColumn id="2" xr3:uid="{216C0E4F-7471-4615-9F86-F8BB248A1869}" name="Type of Expense" dataDxfId="103"/>
  </tableColumns>
  <tableStyleInfo name="TableStyleDark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B00CEF-5FBA-4FEF-BA86-C6119E3D6A8B}" name="Table23453456879111215141617181920212223242526272834567891011345678910111241012151618" displayName="Table23453456879111215141617181920212223242526272834567891011345678910111241012151618" ref="A1:N33" totalsRowShown="0" headerRowDxfId="102" dataDxfId="100" headerRowBorderDxfId="101" tableBorderDxfId="99" totalsRowBorderDxfId="98">
  <tableColumns count="14">
    <tableColumn id="1" xr3:uid="{499DF646-AF04-45AA-952F-1DDE72CE60DA}" name="Date" dataDxfId="97"/>
    <tableColumn id="9" xr3:uid="{FFFB0242-AA29-49B7-B7DD-CEF5E5BF296F}" name="Actual Profit" dataDxfId="96" dataCellStyle="Comma">
      <calculatedColumnFormula>Table23453456879111215141617181920212223242526272834567891011345678910111241012151618[[#This Row],[Profit]]-Table23453456879111215141617181920212223242526272834567891011345678910111241012151618[[#This Row],[Mulbhag]]</calculatedColumnFormula>
    </tableColumn>
    <tableColumn id="8" xr3:uid="{A0B4B90B-6AC5-49EC-9658-FF3FA4D74347}" name="Mulbhag" dataDxfId="95" dataCellStyle="Comma">
      <calculatedColumnFormula>Table23453456879111215141617181920212223242526272834567891011345678910111241012151618[[#This Row],[Profit]]/3</calculatedColumnFormula>
    </tableColumn>
    <tableColumn id="2" xr3:uid="{38C48D11-5725-4F7D-B57F-122035D95D67}" name="Profit" dataDxfId="94" dataCellStyle="Comma">
      <calculatedColumnFormula>F2*0.3</calculatedColumnFormula>
    </tableColumn>
    <tableColumn id="3" xr3:uid="{A8FB081B-298C-4A05-99E0-3AF2E66214C3}" name="Actual" dataDxfId="93" dataCellStyle="Comma">
      <calculatedColumnFormula>F2-D2</calculatedColumnFormula>
    </tableColumn>
    <tableColumn id="5" xr3:uid="{8FDF891E-4746-41A4-A15F-CD13ED81E803}" name="Total" dataDxfId="92" dataCellStyle="Comma">
      <calculatedColumnFormula>G2+H2</calculatedColumnFormula>
    </tableColumn>
    <tableColumn id="11" xr3:uid="{74CC5186-E669-4EA8-9C80-5E853E91C2BC}" name="Cash" dataDxfId="91" dataCellStyle="Comma"/>
    <tableColumn id="10" xr3:uid="{A7B832F1-0806-4DDD-9E71-D0DF325E5099}" name="Account Transfer" dataDxfId="90" dataCellStyle="Comma"/>
    <tableColumn id="4" xr3:uid="{AEDFF1B0-8438-460A-A691-0D68C9E35B23}" name="Expense" dataDxfId="89" dataCellStyle="Comma"/>
    <tableColumn id="6" xr3:uid="{D1E2AC44-40DD-4630-80DA-FDC5050CDA41}" name="Expense Online" dataDxfId="88" dataCellStyle="Comma"/>
    <tableColumn id="12" xr3:uid="{80EDB644-545D-42E3-B80E-8696992D7B10}" name="x" dataDxfId="87" dataCellStyle="Comma">
      <calculatedColumnFormula>Table23453456879111215141617181920212223242526272834567891011345678910111241012151618[[#This Row],[Account Transfer]]-Table23453456879111215141617181920212223242526272834567891011345678910111241012151618[[#This Row],[Expense Online]]</calculatedColumnFormula>
    </tableColumn>
    <tableColumn id="7" xr3:uid="{DB36361A-74CF-4AD4-B3E5-63B09C1DED66}" name="cash on hand" dataDxfId="86" dataCellStyle="Comma">
      <calculatedColumnFormula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calculatedColumnFormula>
    </tableColumn>
    <tableColumn id="13" xr3:uid="{62E4BC9D-C4BB-45EC-A5F1-345D882C082D}" name="Actual Balance" dataDxfId="85" dataCellStyle="Comma">
      <calculatedColumnFormula>Table23453456879111215141617181920212223242526272834567891011345678910111241012151618[[#This Row],[Cash]]-Table23453456879111215141617181920212223242526272834567891011345678910111241012151618[[#This Row],[Expense]]</calculatedColumnFormula>
    </tableColumn>
    <tableColumn id="14" xr3:uid="{2414BDD2-9E64-4EA4-B937-AE30E9EBC46A}" name="Column1" dataDxfId="84" dataCellStyle="Comma"/>
  </tableColumns>
  <tableStyleInfo name="TableStyleDark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BE78C2E-0425-4FE4-B2BD-A97BDF70F8BF}" name="Table234534568791112151416171819202122232425262728345678910113456789101112351113141719" displayName="Table234534568791112151416171819202122232425262728345678910113456789101112351113141719" ref="A1:F228" totalsRowShown="0" headerRowDxfId="77" dataDxfId="75" headerRowBorderDxfId="76" tableBorderDxfId="74" totalsRowBorderDxfId="73">
  <tableColumns count="6">
    <tableColumn id="1" xr3:uid="{6B61E61B-FD40-4619-8F1C-891DDF793DAC}" name="Date" dataDxfId="72"/>
    <tableColumn id="11" xr3:uid="{00387D79-A6CC-4268-AA43-77B7D7610F92}" name="Cash" dataDxfId="71" dataCellStyle="Currency"/>
    <tableColumn id="10" xr3:uid="{1076AE1F-6397-4571-BA1E-1C4A6636FBAF}" name="Account Transfer" dataDxfId="70" dataCellStyle="Currency"/>
    <tableColumn id="14" xr3:uid="{4FE54055-1FD6-4A43-B052-DC7D2E0241C6}" name="Total" dataDxfId="69" dataCellStyle="Currency">
      <calculatedColumnFormula>Table234534568791112151416171819202122232425262728345678910113456789101112351113141719[[#This Row],[Cash]]+Table234534568791112151416171819202122232425262728345678910113456789101112351113141719[[#This Row],[Account Transfer]]</calculatedColumnFormula>
    </tableColumn>
    <tableColumn id="5" xr3:uid="{1978AD0D-AB4D-4DD5-BFE5-799A20B84741}" name="Remarks" dataDxfId="68" dataCellStyle="Comma"/>
    <tableColumn id="2" xr3:uid="{E3E872EC-0A59-4233-BCFC-EF2878B168EB}" name="Type of Expense" dataDxfId="67"/>
  </tableColumns>
  <tableStyleInfo name="TableStyleDark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3C3D63-1502-45FD-9450-7E5B96FA4E00}" name="Table2345345687911121514161718192021222324252627283456789101134567891011124101215161820" displayName="Table2345345687911121514161718192021222324252627283456789101134567891011124101215161820" ref="A1:N33" totalsRowShown="0" headerRowDxfId="66" dataDxfId="64" headerRowBorderDxfId="65" tableBorderDxfId="63" totalsRowBorderDxfId="62">
  <tableColumns count="14">
    <tableColumn id="1" xr3:uid="{AC04DBF9-D892-4CA7-861A-65AC4B58A266}" name="Date" dataDxfId="61"/>
    <tableColumn id="9" xr3:uid="{8B8DBF24-0485-4DBF-9145-4F11A33CD8CC}" name="Actual Profit" dataDxfId="60" dataCellStyle="Comma">
      <calculatedColumnFormula>Table2345345687911121514161718192021222324252627283456789101134567891011124101215161820[[#This Row],[Profit]]-Table2345345687911121514161718192021222324252627283456789101134567891011124101215161820[[#This Row],[Mulbhag]]</calculatedColumnFormula>
    </tableColumn>
    <tableColumn id="8" xr3:uid="{C7878B19-FAB0-438D-A3DC-21520087E51F}" name="Mulbhag" dataDxfId="59" dataCellStyle="Comma">
      <calculatedColumnFormula>Table2345345687911121514161718192021222324252627283456789101134567891011124101215161820[[#This Row],[Profit]]/3</calculatedColumnFormula>
    </tableColumn>
    <tableColumn id="2" xr3:uid="{BCD7F0BC-C3EF-47A6-BD88-8BBD75C3EC37}" name="Profit" dataDxfId="58" dataCellStyle="Comma">
      <calculatedColumnFormula>F2*0.3</calculatedColumnFormula>
    </tableColumn>
    <tableColumn id="3" xr3:uid="{3C2BD748-FB98-4414-8972-78EF895F6B18}" name="Actual" dataDxfId="57" dataCellStyle="Comma">
      <calculatedColumnFormula>F2-D2</calculatedColumnFormula>
    </tableColumn>
    <tableColumn id="5" xr3:uid="{CD01E25D-0EFA-486B-9F04-66B3003D7B19}" name="Total" dataDxfId="56" dataCellStyle="Comma">
      <calculatedColumnFormula>G2+H2+Table2345345687911121514161718192021222324252627283456789101134567891011124101215161820[[#This Row],[Expense]]</calculatedColumnFormula>
    </tableColumn>
    <tableColumn id="11" xr3:uid="{957E812E-2D6E-48C9-98CA-699ED9BA0D0B}" name="Cash" dataDxfId="55" dataCellStyle="Comma"/>
    <tableColumn id="10" xr3:uid="{54DFFDAF-7DEB-4620-A49E-90621E1C5972}" name="Account Transfer" dataDxfId="54" dataCellStyle="Comma">
      <calculatedColumnFormula>11250+11000</calculatedColumnFormula>
    </tableColumn>
    <tableColumn id="4" xr3:uid="{3944C2C5-EB8E-4EE1-8875-623D83BE9516}" name="Expense" dataDxfId="53" dataCellStyle="Comma"/>
    <tableColumn id="6" xr3:uid="{021D059E-4656-42BB-BEA7-3DD1B75BAB1C}" name="Expense Online" dataDxfId="52" dataCellStyle="Comma"/>
    <tableColumn id="12" xr3:uid="{A79722F4-B0AA-4558-955D-BD6B90550FEA}" name="x" dataDxfId="51" dataCellStyle="Comma">
      <calculatedColumnFormula>Table2345345687911121514161718192021222324252627283456789101134567891011124101215161820[[#This Row],[Account Transfer]]-Table2345345687911121514161718192021222324252627283456789101134567891011124101215161820[[#This Row],[Expense Online]]</calculatedColumnFormula>
    </tableColumn>
    <tableColumn id="7" xr3:uid="{7F734774-2C43-4471-8028-22BC64B28E1F}" name="cash on hand" dataDxfId="50" dataCellStyle="Comma">
      <calculatedColumnFormula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calculatedColumnFormula>
    </tableColumn>
    <tableColumn id="13" xr3:uid="{AD557602-358F-4F40-90B1-93788E133A04}" name="Actual Balance" dataDxfId="49" dataCellStyle="Comma">
      <calculatedColumnFormula>Table2345345687911121514161718192021222324252627283456789101134567891011124101215161820[[#This Row],[Cash]]-Table2345345687911121514161718192021222324252627283456789101134567891011124101215161820[[#This Row],[Expense]]</calculatedColumnFormula>
    </tableColumn>
    <tableColumn id="14" xr3:uid="{C91BFEF9-EBE2-49EF-99E2-6289CB2A230F}" name="Column1" dataDxfId="48" dataCellStyle="Comma"/>
  </tableColumns>
  <tableStyleInfo name="TableStyleDark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D9A659F-B75A-48D8-BB48-D960B33C6D09}" name="Table234534568791112151416171819202122232425262728345678910113456789101112410121516182022" displayName="Table234534568791112151416171819202122232425262728345678910113456789101112410121516182022" ref="A1:N33" totalsRowShown="0" headerRowDxfId="47" dataDxfId="45" headerRowBorderDxfId="46" tableBorderDxfId="44" totalsRowBorderDxfId="43">
  <tableColumns count="14">
    <tableColumn id="1" xr3:uid="{32CB82AB-B323-4000-A70F-9C6FA28603F2}" name="Date" dataDxfId="42"/>
    <tableColumn id="9" xr3:uid="{6A883E35-99F3-4B85-B438-699363024EBC}" name="Actual Profit" dataDxfId="41" dataCellStyle="Comma">
      <calculatedColumnFormula>Table234534568791112151416171819202122232425262728345678910113456789101112410121516182022[[#This Row],[Profit]]-Table234534568791112151416171819202122232425262728345678910113456789101112410121516182022[[#This Row],[Mulbhag]]</calculatedColumnFormula>
    </tableColumn>
    <tableColumn id="8" xr3:uid="{99611FB1-443F-4674-B34B-B0B1DD5545C8}" name="Mulbhag" dataDxfId="40" dataCellStyle="Comma">
      <calculatedColumnFormula>Table234534568791112151416171819202122232425262728345678910113456789101112410121516182022[[#This Row],[Profit]]/3</calculatedColumnFormula>
    </tableColumn>
    <tableColumn id="2" xr3:uid="{09A04CAB-A115-4B85-A649-E61AD2E90F49}" name="Profit" dataDxfId="39" dataCellStyle="Comma">
      <calculatedColumnFormula>F2*0.3</calculatedColumnFormula>
    </tableColumn>
    <tableColumn id="3" xr3:uid="{E50F00F1-1472-4505-AED2-1EBFC6C90150}" name="Actual" dataDxfId="38" dataCellStyle="Comma">
      <calculatedColumnFormula>F2-D2</calculatedColumnFormula>
    </tableColumn>
    <tableColumn id="5" xr3:uid="{E22AB3F0-5C76-47D2-84FA-E29696DCD7A7}" name="Total" dataDxfId="37" dataCellStyle="Comma">
      <calculatedColumnFormula>G2+H2+Table234534568791112151416171819202122232425262728345678910113456789101112410121516182022[[#This Row],[Expense]]</calculatedColumnFormula>
    </tableColumn>
    <tableColumn id="11" xr3:uid="{2BA0F307-D9D7-4573-9A14-138A4BD5A2DE}" name="Cash" dataDxfId="36" dataCellStyle="Comma"/>
    <tableColumn id="10" xr3:uid="{CEF2AEE3-88FD-4E40-85F3-C77791DDDA71}" name="Account Transfer" dataDxfId="35" dataCellStyle="Comma">
      <calculatedColumnFormula>11250+11000</calculatedColumnFormula>
    </tableColumn>
    <tableColumn id="4" xr3:uid="{D6D06D98-8149-481F-900E-C54F66FD131B}" name="Expense" dataDxfId="34" dataCellStyle="Comma"/>
    <tableColumn id="6" xr3:uid="{750EBC27-2D87-47B2-BA9C-CEB97CB05E4F}" name="Expense Online" dataDxfId="33" dataCellStyle="Comma"/>
    <tableColumn id="12" xr3:uid="{8124E440-81E4-4B3E-A057-A3618E179BCD}" name="x" dataDxfId="32" dataCellStyle="Comma">
      <calculatedColumnFormula>Table234534568791112151416171819202122232425262728345678910113456789101112410121516182022[[#This Row],[Account Transfer]]-Table234534568791112151416171819202122232425262728345678910113456789101112410121516182022[[#This Row],[Expense Online]]</calculatedColumnFormula>
    </tableColumn>
    <tableColumn id="7" xr3:uid="{4556C8C7-87E7-4235-AAAA-BE84105C3BA9}" name="cash on hand" dataDxfId="31" dataCellStyle="Comma">
      <calculatedColumnFormula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calculatedColumnFormula>
    </tableColumn>
    <tableColumn id="13" xr3:uid="{FA27AABB-456B-493D-9BA6-75CE5206D5EC}" name="Actual Balance" dataDxfId="30" dataCellStyle="Comma">
      <calculatedColumnFormula>Table234534568791112151416171819202122232425262728345678910113456789101112410121516182022[[#This Row],[Cash]]-Table234534568791112151416171819202122232425262728345678910113456789101112410121516182022[[#This Row],[Expense]]</calculatedColumnFormula>
    </tableColumn>
    <tableColumn id="14" xr3:uid="{3C841815-2E5D-4009-8CE3-6668A426B6EA}" name="Column1" dataDxfId="29" dataCellStyle="Comma"/>
  </tableColumns>
  <tableStyleInfo name="TableStyleDark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6DC60FB-FDE1-4111-BB3A-A128B0E6DA8C}" name="Table23453456879111215141617181920212223242526272834567891011345678910111235111314171921" displayName="Table23453456879111215141617181920212223242526272834567891011345678910111235111314171921" ref="A1:F228" totalsRowShown="0" headerRowDxfId="22" dataDxfId="20" headerRowBorderDxfId="21" tableBorderDxfId="19" totalsRowBorderDxfId="18">
  <tableColumns count="6">
    <tableColumn id="1" xr3:uid="{DE2D6336-D156-4A89-BD89-5376A0778065}" name="Date" dataDxfId="17"/>
    <tableColumn id="11" xr3:uid="{885D1936-0296-4AA8-A192-C203DDA4B57A}" name="Cash" dataDxfId="16" dataCellStyle="Currency"/>
    <tableColumn id="10" xr3:uid="{26936EFE-4499-45A9-9506-B96387E7902F}" name="Account Transfer" dataDxfId="15" dataCellStyle="Currency"/>
    <tableColumn id="14" xr3:uid="{F4657A79-12BB-4E43-A575-2C9DBA466337}" name="Total" dataDxfId="14" dataCellStyle="Currency">
      <calculatedColumnFormula>Table23453456879111215141617181920212223242526272834567891011345678910111235111314171921[[#This Row],[Cash]]+Table23453456879111215141617181920212223242526272834567891011345678910111235111314171921[[#This Row],[Account Transfer]]</calculatedColumnFormula>
    </tableColumn>
    <tableColumn id="5" xr3:uid="{C14C778C-5191-45AC-8822-E8CEABE4B267}" name="Remarks" dataDxfId="13" dataCellStyle="Comma"/>
    <tableColumn id="2" xr3:uid="{911D7848-02A8-45D4-808B-6A86999B7340}" name="Type of Expense" dataDxfId="1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1" dT="2025-06-11T17:50:21.51" personId="{63147A88-509F-4EFF-BC22-841404BD3056}" id="{C0B33DE3-036A-4C1B-85F4-1F354A29AD5E}">
    <text xml:space="preserve">Shortfall Amount , need to recovered from  Loan Amount
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ivotTable" Target="../pivotTables/pivotTable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ivotTable" Target="../pivotTables/pivotTable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1BA0-4326-40AE-AE6F-9C8821CC7E6C}">
  <dimension ref="A2:H16"/>
  <sheetViews>
    <sheetView workbookViewId="0">
      <selection activeCell="H6" sqref="H6"/>
    </sheetView>
  </sheetViews>
  <sheetFormatPr defaultRowHeight="14.5" x14ac:dyDescent="0.35"/>
  <cols>
    <col min="1" max="1" width="13.26953125" bestFit="1" customWidth="1"/>
    <col min="2" max="2" width="13.6328125" bestFit="1" customWidth="1"/>
    <col min="4" max="4" width="13.54296875" bestFit="1" customWidth="1"/>
    <col min="5" max="5" width="11" style="24" bestFit="1" customWidth="1"/>
  </cols>
  <sheetData>
    <row r="2" spans="1:8" x14ac:dyDescent="0.35">
      <c r="A2" t="s">
        <v>53</v>
      </c>
      <c r="B2" s="24">
        <v>1500000</v>
      </c>
      <c r="D2" t="s">
        <v>54</v>
      </c>
      <c r="H2">
        <v>80000</v>
      </c>
    </row>
    <row r="3" spans="1:8" x14ac:dyDescent="0.35">
      <c r="A3" s="42"/>
      <c r="D3" t="s">
        <v>55</v>
      </c>
      <c r="E3" s="24">
        <v>320000</v>
      </c>
      <c r="H3">
        <v>70000</v>
      </c>
    </row>
    <row r="4" spans="1:8" x14ac:dyDescent="0.35">
      <c r="D4" t="s">
        <v>56</v>
      </c>
      <c r="E4" s="24">
        <v>125000</v>
      </c>
      <c r="H4">
        <v>60000</v>
      </c>
    </row>
    <row r="5" spans="1:8" x14ac:dyDescent="0.35">
      <c r="D5" t="s">
        <v>57</v>
      </c>
      <c r="E5" s="24">
        <f>17800*5</f>
        <v>89000</v>
      </c>
    </row>
    <row r="6" spans="1:8" x14ac:dyDescent="0.35">
      <c r="D6" t="s">
        <v>58</v>
      </c>
      <c r="E6" s="24">
        <v>280000</v>
      </c>
      <c r="H6">
        <f>SUM(H2:H5)</f>
        <v>210000</v>
      </c>
    </row>
    <row r="7" spans="1:8" x14ac:dyDescent="0.35">
      <c r="D7" t="s">
        <v>60</v>
      </c>
      <c r="E7" s="24">
        <v>271000</v>
      </c>
      <c r="F7" t="s">
        <v>59</v>
      </c>
    </row>
    <row r="8" spans="1:8" x14ac:dyDescent="0.35">
      <c r="D8" t="s">
        <v>60</v>
      </c>
      <c r="E8" s="24">
        <v>271000</v>
      </c>
      <c r="F8" t="s">
        <v>59</v>
      </c>
    </row>
    <row r="9" spans="1:8" x14ac:dyDescent="0.35">
      <c r="D9" t="s">
        <v>61</v>
      </c>
      <c r="E9" s="24">
        <v>273000</v>
      </c>
    </row>
    <row r="10" spans="1:8" x14ac:dyDescent="0.35">
      <c r="D10" t="s">
        <v>62</v>
      </c>
      <c r="E10" s="24">
        <v>78000</v>
      </c>
    </row>
    <row r="11" spans="1:8" x14ac:dyDescent="0.35">
      <c r="D11" t="s">
        <v>63</v>
      </c>
      <c r="E11" s="24">
        <v>69000</v>
      </c>
    </row>
    <row r="12" spans="1:8" x14ac:dyDescent="0.35">
      <c r="D12" t="s">
        <v>63</v>
      </c>
      <c r="E12" s="24">
        <v>75000</v>
      </c>
    </row>
    <row r="13" spans="1:8" x14ac:dyDescent="0.35">
      <c r="D13" t="s">
        <v>63</v>
      </c>
      <c r="E13" s="24">
        <v>25000</v>
      </c>
    </row>
    <row r="14" spans="1:8" x14ac:dyDescent="0.35">
      <c r="D14" t="s">
        <v>64</v>
      </c>
      <c r="E14" s="24">
        <v>20000</v>
      </c>
    </row>
    <row r="16" spans="1:8" x14ac:dyDescent="0.35">
      <c r="E16" s="24">
        <f>SUM(E3:E15)</f>
        <v>1896000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F77E-F7DB-4F9C-9F59-7A8C43D5E1B6}">
  <dimension ref="A1:C23"/>
  <sheetViews>
    <sheetView tabSelected="1" topLeftCell="A2" workbookViewId="0">
      <selection activeCell="D9" sqref="D9"/>
    </sheetView>
  </sheetViews>
  <sheetFormatPr defaultRowHeight="14.5" x14ac:dyDescent="0.35"/>
  <cols>
    <col min="1" max="1" width="22.26953125" bestFit="1" customWidth="1"/>
    <col min="2" max="2" width="11" bestFit="1" customWidth="1"/>
  </cols>
  <sheetData>
    <row r="1" spans="1:3" x14ac:dyDescent="0.35">
      <c r="A1" s="122" t="s">
        <v>374</v>
      </c>
      <c r="B1" s="122"/>
      <c r="C1" s="122"/>
    </row>
    <row r="2" spans="1:3" x14ac:dyDescent="0.35">
      <c r="A2" s="123" t="s">
        <v>176</v>
      </c>
      <c r="B2" s="123"/>
    </row>
    <row r="3" spans="1:3" x14ac:dyDescent="0.35">
      <c r="A3" s="68" t="s">
        <v>372</v>
      </c>
      <c r="B3" s="64">
        <v>956793</v>
      </c>
    </row>
    <row r="4" spans="1:3" x14ac:dyDescent="0.35">
      <c r="A4" s="68" t="s">
        <v>373</v>
      </c>
      <c r="B4" s="64">
        <v>4652048</v>
      </c>
    </row>
    <row r="5" spans="1:3" x14ac:dyDescent="0.35">
      <c r="A5" s="111" t="s">
        <v>371</v>
      </c>
      <c r="B5" s="96">
        <f>SUM(B3:B4)</f>
        <v>5608841</v>
      </c>
    </row>
    <row r="6" spans="1:3" x14ac:dyDescent="0.35">
      <c r="B6" s="62"/>
    </row>
    <row r="7" spans="1:3" x14ac:dyDescent="0.35">
      <c r="B7" s="62"/>
    </row>
    <row r="8" spans="1:3" x14ac:dyDescent="0.35">
      <c r="A8" s="62"/>
      <c r="B8" s="62"/>
    </row>
    <row r="9" spans="1:3" x14ac:dyDescent="0.35">
      <c r="B9" s="62"/>
    </row>
    <row r="10" spans="1:3" x14ac:dyDescent="0.35">
      <c r="A10" s="124" t="s">
        <v>6</v>
      </c>
      <c r="B10" s="124"/>
    </row>
    <row r="11" spans="1:3" x14ac:dyDescent="0.35">
      <c r="A11" s="68" t="s">
        <v>372</v>
      </c>
      <c r="B11" s="54">
        <v>105202</v>
      </c>
    </row>
    <row r="12" spans="1:3" x14ac:dyDescent="0.35">
      <c r="A12" s="68" t="s">
        <v>375</v>
      </c>
      <c r="B12" s="108">
        <v>170930</v>
      </c>
    </row>
    <row r="13" spans="1:3" x14ac:dyDescent="0.35">
      <c r="A13" s="68" t="s">
        <v>376</v>
      </c>
      <c r="B13" s="113">
        <v>365012.56</v>
      </c>
    </row>
    <row r="14" spans="1:3" x14ac:dyDescent="0.35">
      <c r="A14" s="112" t="s">
        <v>377</v>
      </c>
      <c r="B14" s="108">
        <v>1238266</v>
      </c>
    </row>
    <row r="15" spans="1:3" x14ac:dyDescent="0.35">
      <c r="A15" s="112" t="s">
        <v>377</v>
      </c>
      <c r="B15" s="108">
        <v>1253049</v>
      </c>
    </row>
    <row r="16" spans="1:3" x14ac:dyDescent="0.35">
      <c r="A16" s="114" t="s">
        <v>378</v>
      </c>
      <c r="B16" s="108">
        <v>110000</v>
      </c>
    </row>
    <row r="17" spans="1:2" x14ac:dyDescent="0.35">
      <c r="A17" s="114" t="s">
        <v>379</v>
      </c>
      <c r="B17" s="108">
        <v>110000</v>
      </c>
    </row>
    <row r="18" spans="1:2" x14ac:dyDescent="0.35">
      <c r="A18" s="112" t="s">
        <v>380</v>
      </c>
      <c r="B18" s="108">
        <f>B3*0.1</f>
        <v>95679.3</v>
      </c>
    </row>
    <row r="19" spans="1:2" x14ac:dyDescent="0.35">
      <c r="A19" s="112" t="s">
        <v>381</v>
      </c>
      <c r="B19" s="108">
        <f>B4*0.1</f>
        <v>465204.80000000005</v>
      </c>
    </row>
    <row r="20" spans="1:2" x14ac:dyDescent="0.35">
      <c r="A20" s="112"/>
      <c r="B20" s="108"/>
    </row>
    <row r="21" spans="1:2" x14ac:dyDescent="0.35">
      <c r="A21" s="112"/>
      <c r="B21" s="108"/>
    </row>
    <row r="22" spans="1:2" x14ac:dyDescent="0.35">
      <c r="A22" s="112"/>
      <c r="B22" s="108"/>
    </row>
    <row r="23" spans="1:2" x14ac:dyDescent="0.35">
      <c r="A23" s="115"/>
      <c r="B23" s="116"/>
    </row>
  </sheetData>
  <mergeCells count="3">
    <mergeCell ref="A1:C1"/>
    <mergeCell ref="A2:B2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85D7-8C3A-461C-A835-ABB1B47924D4}">
  <dimension ref="A1:U39"/>
  <sheetViews>
    <sheetView topLeftCell="A8" workbookViewId="0">
      <selection activeCell="G12" sqref="G12"/>
    </sheetView>
  </sheetViews>
  <sheetFormatPr defaultRowHeight="14.5" x14ac:dyDescent="0.35"/>
  <cols>
    <col min="1" max="1" width="16.36328125" bestFit="1" customWidth="1"/>
    <col min="2" max="2" width="20.1796875" style="24" bestFit="1" customWidth="1"/>
    <col min="3" max="3" width="12.90625" bestFit="1" customWidth="1"/>
    <col min="4" max="4" width="11.36328125" bestFit="1" customWidth="1"/>
    <col min="5" max="6" width="12.54296875" bestFit="1" customWidth="1"/>
    <col min="7" max="7" width="11.54296875" bestFit="1" customWidth="1"/>
    <col min="8" max="8" width="11.08984375" customWidth="1"/>
    <col min="9" max="9" width="10.08984375" style="24" bestFit="1" customWidth="1"/>
    <col min="10" max="10" width="10.6328125" bestFit="1" customWidth="1"/>
    <col min="11" max="11" width="10.08984375" bestFit="1" customWidth="1"/>
    <col min="12" max="12" width="12.7265625" bestFit="1" customWidth="1"/>
    <col min="13" max="13" width="11" bestFit="1" customWidth="1"/>
    <col min="14" max="14" width="10" bestFit="1" customWidth="1"/>
    <col min="15" max="15" width="11.36328125" bestFit="1" customWidth="1"/>
    <col min="17" max="19" width="10" bestFit="1" customWidth="1"/>
    <col min="20" max="20" width="11" bestFit="1" customWidth="1"/>
    <col min="21" max="21" width="10" bestFit="1" customWidth="1"/>
  </cols>
  <sheetData>
    <row r="1" spans="1:21" ht="15" thickBot="1" x14ac:dyDescent="0.4">
      <c r="A1" s="127" t="s">
        <v>404</v>
      </c>
      <c r="B1" s="128"/>
      <c r="C1" s="128"/>
      <c r="D1" s="128"/>
      <c r="E1" s="128"/>
      <c r="F1" s="129"/>
      <c r="G1" s="66"/>
      <c r="H1" s="66"/>
      <c r="I1" s="130" t="s">
        <v>176</v>
      </c>
      <c r="J1" s="130"/>
      <c r="K1" s="130"/>
      <c r="L1" s="130"/>
      <c r="M1" s="130"/>
      <c r="O1" s="122" t="s">
        <v>229</v>
      </c>
      <c r="P1" s="122"/>
      <c r="Q1" s="122"/>
      <c r="R1" s="122"/>
      <c r="S1" s="122"/>
    </row>
    <row r="2" spans="1:21" x14ac:dyDescent="0.35">
      <c r="A2" s="77" t="s">
        <v>157</v>
      </c>
      <c r="B2" s="78" t="s">
        <v>189</v>
      </c>
      <c r="C2" s="78" t="s">
        <v>69</v>
      </c>
      <c r="D2" s="78" t="s">
        <v>158</v>
      </c>
      <c r="E2" s="78" t="s">
        <v>65</v>
      </c>
      <c r="F2" s="78" t="s">
        <v>159</v>
      </c>
      <c r="G2" s="79" t="s">
        <v>209</v>
      </c>
      <c r="H2" s="83"/>
      <c r="I2" s="75" t="s">
        <v>177</v>
      </c>
      <c r="J2" s="63" t="s">
        <v>9</v>
      </c>
      <c r="K2" s="63" t="s">
        <v>1</v>
      </c>
      <c r="L2" s="63" t="s">
        <v>2</v>
      </c>
      <c r="M2" s="63" t="s">
        <v>3</v>
      </c>
      <c r="O2" s="63" t="s">
        <v>0</v>
      </c>
      <c r="P2" s="63" t="s">
        <v>42</v>
      </c>
      <c r="Q2" s="63" t="s">
        <v>9</v>
      </c>
      <c r="R2" s="63" t="s">
        <v>69</v>
      </c>
      <c r="S2" s="63" t="s">
        <v>51</v>
      </c>
      <c r="T2" s="63" t="s">
        <v>230</v>
      </c>
    </row>
    <row r="3" spans="1:21" x14ac:dyDescent="0.35">
      <c r="A3" s="55" t="s">
        <v>132</v>
      </c>
      <c r="B3" s="52" t="s">
        <v>191</v>
      </c>
      <c r="C3" s="52" t="s">
        <v>137</v>
      </c>
      <c r="D3" s="53">
        <v>45956</v>
      </c>
      <c r="E3" s="54">
        <f>F3*0.022</f>
        <v>6006</v>
      </c>
      <c r="F3" s="54">
        <v>273000</v>
      </c>
      <c r="G3" s="56" t="s">
        <v>405</v>
      </c>
      <c r="H3" s="54">
        <f ca="1">SUMIFS(E3:E24,D3:D24,TODAY(),G3:G24,"")</f>
        <v>0</v>
      </c>
      <c r="I3" s="76">
        <v>45597</v>
      </c>
      <c r="J3" s="64">
        <v>74746.200000000012</v>
      </c>
      <c r="K3" s="64">
        <v>224238.6</v>
      </c>
      <c r="L3" s="64">
        <v>523223.4</v>
      </c>
      <c r="M3" s="64">
        <v>747462</v>
      </c>
      <c r="O3" s="63" t="s">
        <v>231</v>
      </c>
      <c r="P3" s="85">
        <v>2000</v>
      </c>
      <c r="Q3" s="85">
        <v>10000</v>
      </c>
      <c r="R3" s="85">
        <v>1000</v>
      </c>
      <c r="S3" s="85">
        <v>2000</v>
      </c>
      <c r="T3" s="85">
        <v>5000</v>
      </c>
      <c r="U3" s="62">
        <f>SUM(P3:T3)</f>
        <v>20000</v>
      </c>
    </row>
    <row r="4" spans="1:21" x14ac:dyDescent="0.35">
      <c r="A4" s="105" t="s">
        <v>132</v>
      </c>
      <c r="B4" s="105" t="s">
        <v>191</v>
      </c>
      <c r="C4" s="105" t="s">
        <v>138</v>
      </c>
      <c r="D4" s="117">
        <v>45960</v>
      </c>
      <c r="E4" s="67">
        <f>F4*0.0215</f>
        <v>537.5</v>
      </c>
      <c r="F4" s="67">
        <v>25000</v>
      </c>
      <c r="G4" s="67" t="s">
        <v>405</v>
      </c>
      <c r="H4" s="84"/>
      <c r="I4" s="76">
        <v>45627</v>
      </c>
      <c r="J4" s="64">
        <v>81472.100000000006</v>
      </c>
      <c r="K4" s="64">
        <v>244416.29999999996</v>
      </c>
      <c r="L4" s="64">
        <v>244416.29999999996</v>
      </c>
      <c r="M4" s="64">
        <v>814721</v>
      </c>
      <c r="O4" s="59">
        <v>45942</v>
      </c>
      <c r="P4" s="85"/>
      <c r="Q4" s="68"/>
      <c r="R4" s="68"/>
      <c r="S4" s="68"/>
      <c r="T4" s="68"/>
    </row>
    <row r="5" spans="1:21" x14ac:dyDescent="0.35">
      <c r="A5" s="55" t="s">
        <v>139</v>
      </c>
      <c r="B5" s="52" t="s">
        <v>191</v>
      </c>
      <c r="C5" s="52" t="s">
        <v>140</v>
      </c>
      <c r="D5" s="53">
        <v>45962</v>
      </c>
      <c r="E5" s="54">
        <f>F5*0.025</f>
        <v>9375</v>
      </c>
      <c r="F5" s="54">
        <v>375000</v>
      </c>
      <c r="G5" s="56" t="s">
        <v>405</v>
      </c>
      <c r="H5" s="84"/>
      <c r="I5" s="76">
        <v>45658</v>
      </c>
      <c r="J5" s="64">
        <v>65232.499999999993</v>
      </c>
      <c r="K5" s="64">
        <v>195697.50000000003</v>
      </c>
      <c r="L5" s="64">
        <v>195697.50000000003</v>
      </c>
      <c r="M5" s="64">
        <v>652325</v>
      </c>
      <c r="O5" s="59">
        <v>45943</v>
      </c>
      <c r="P5" s="85"/>
      <c r="Q5" s="68"/>
      <c r="R5" s="68"/>
      <c r="S5" s="68"/>
      <c r="T5" s="68"/>
    </row>
    <row r="6" spans="1:21" x14ac:dyDescent="0.35">
      <c r="A6" s="55" t="s">
        <v>142</v>
      </c>
      <c r="B6" s="52" t="s">
        <v>191</v>
      </c>
      <c r="C6" s="52" t="s">
        <v>64</v>
      </c>
      <c r="D6" s="53">
        <v>45963</v>
      </c>
      <c r="E6" s="54">
        <v>9823</v>
      </c>
      <c r="F6" s="54">
        <v>200000</v>
      </c>
      <c r="G6" s="56" t="s">
        <v>405</v>
      </c>
      <c r="H6" s="84"/>
      <c r="I6" s="76">
        <v>45689</v>
      </c>
      <c r="J6" s="64">
        <v>55399.499999999993</v>
      </c>
      <c r="K6" s="64">
        <v>166198.5</v>
      </c>
      <c r="L6" s="64">
        <v>166198.5</v>
      </c>
      <c r="M6" s="64">
        <v>553995</v>
      </c>
      <c r="O6" s="59">
        <v>45944</v>
      </c>
      <c r="P6" s="85"/>
      <c r="Q6" s="68"/>
      <c r="R6" s="68"/>
      <c r="S6" s="68"/>
      <c r="T6" s="68"/>
    </row>
    <row r="7" spans="1:21" x14ac:dyDescent="0.35">
      <c r="A7" s="55" t="s">
        <v>383</v>
      </c>
      <c r="B7" s="52" t="s">
        <v>191</v>
      </c>
      <c r="C7" s="52" t="s">
        <v>384</v>
      </c>
      <c r="D7" s="53">
        <v>45965</v>
      </c>
      <c r="E7" s="54">
        <v>20000</v>
      </c>
      <c r="F7" s="54">
        <v>360000</v>
      </c>
      <c r="G7" s="56" t="s">
        <v>335</v>
      </c>
      <c r="H7" s="84"/>
      <c r="I7" s="76">
        <v>45809</v>
      </c>
      <c r="J7" s="64">
        <v>62522.799999999996</v>
      </c>
      <c r="K7" s="64">
        <v>187568.4</v>
      </c>
      <c r="L7" s="64">
        <v>187568.4</v>
      </c>
      <c r="M7" s="64">
        <v>561037</v>
      </c>
      <c r="O7" s="59">
        <v>45945</v>
      </c>
      <c r="P7" s="85"/>
      <c r="Q7" s="68"/>
      <c r="R7" s="68"/>
      <c r="S7" s="68"/>
      <c r="T7" s="68"/>
    </row>
    <row r="8" spans="1:21" x14ac:dyDescent="0.35">
      <c r="A8" s="55" t="s">
        <v>132</v>
      </c>
      <c r="B8" s="52" t="s">
        <v>191</v>
      </c>
      <c r="C8" s="52" t="s">
        <v>140</v>
      </c>
      <c r="D8" s="53">
        <v>45965</v>
      </c>
      <c r="E8" s="54">
        <f>F8*0.025</f>
        <v>1725</v>
      </c>
      <c r="F8" s="54">
        <v>69000</v>
      </c>
      <c r="G8" s="56" t="s">
        <v>405</v>
      </c>
      <c r="H8" s="84"/>
      <c r="I8" s="76">
        <v>45748</v>
      </c>
      <c r="J8" s="64">
        <f>K8/3</f>
        <v>54742.69999999999</v>
      </c>
      <c r="K8" s="64">
        <v>164228.09999999998</v>
      </c>
      <c r="L8" s="64">
        <v>164228.09999999998</v>
      </c>
      <c r="M8" s="64">
        <v>547427</v>
      </c>
      <c r="O8" s="59">
        <v>45946</v>
      </c>
      <c r="P8" s="85"/>
      <c r="Q8" s="68"/>
      <c r="R8" s="68"/>
      <c r="S8" s="68"/>
      <c r="T8" s="68"/>
    </row>
    <row r="9" spans="1:21" x14ac:dyDescent="0.35">
      <c r="A9" s="55" t="s">
        <v>132</v>
      </c>
      <c r="B9" s="52" t="s">
        <v>191</v>
      </c>
      <c r="C9" s="52" t="s">
        <v>56</v>
      </c>
      <c r="D9" s="53">
        <v>45965</v>
      </c>
      <c r="E9" s="54">
        <v>18600</v>
      </c>
      <c r="F9" s="54">
        <v>450000</v>
      </c>
      <c r="G9" s="56" t="s">
        <v>335</v>
      </c>
      <c r="H9" s="67"/>
      <c r="I9"/>
      <c r="J9" s="24"/>
      <c r="M9" s="62">
        <f>SUM(M3:M8)</f>
        <v>3876967</v>
      </c>
      <c r="O9" s="59">
        <v>45947</v>
      </c>
      <c r="P9" s="85"/>
      <c r="Q9" s="68"/>
      <c r="R9" s="68"/>
      <c r="S9" s="68"/>
      <c r="T9" s="68"/>
    </row>
    <row r="10" spans="1:21" x14ac:dyDescent="0.35">
      <c r="A10" s="55" t="s">
        <v>145</v>
      </c>
      <c r="B10" s="52" t="s">
        <v>190</v>
      </c>
      <c r="C10" s="52" t="s">
        <v>146</v>
      </c>
      <c r="D10" s="53">
        <v>45966</v>
      </c>
      <c r="E10" s="54">
        <v>37000</v>
      </c>
      <c r="F10" s="54">
        <v>2368000</v>
      </c>
      <c r="G10" s="56" t="s">
        <v>335</v>
      </c>
      <c r="H10" s="67"/>
      <c r="I10"/>
      <c r="J10" s="24"/>
      <c r="O10" s="59">
        <v>45948</v>
      </c>
      <c r="P10" s="85"/>
      <c r="Q10" s="68"/>
      <c r="R10" s="68"/>
      <c r="S10" s="68"/>
      <c r="T10" s="68"/>
    </row>
    <row r="11" spans="1:21" x14ac:dyDescent="0.35">
      <c r="A11" s="55" t="s">
        <v>139</v>
      </c>
      <c r="B11" s="52" t="s">
        <v>191</v>
      </c>
      <c r="C11" s="52" t="s">
        <v>144</v>
      </c>
      <c r="D11" s="53">
        <v>45966</v>
      </c>
      <c r="E11" s="54">
        <f>6538+8530</f>
        <v>15068</v>
      </c>
      <c r="F11" s="54">
        <v>250000</v>
      </c>
      <c r="G11" s="56" t="s">
        <v>335</v>
      </c>
      <c r="H11" s="84"/>
      <c r="I11" s="131" t="s">
        <v>201</v>
      </c>
      <c r="J11" s="131"/>
      <c r="K11" s="72"/>
      <c r="L11" s="72">
        <f ca="1">TODAY()</f>
        <v>45983</v>
      </c>
      <c r="M11" s="62"/>
      <c r="O11" s="59">
        <v>45949</v>
      </c>
      <c r="P11" s="85"/>
      <c r="Q11" s="68"/>
      <c r="R11" s="68"/>
      <c r="S11" s="68"/>
      <c r="T11" s="68"/>
    </row>
    <row r="12" spans="1:21" x14ac:dyDescent="0.35">
      <c r="A12" s="55" t="s">
        <v>382</v>
      </c>
      <c r="B12" s="52" t="s">
        <v>190</v>
      </c>
      <c r="C12" s="52" t="s">
        <v>205</v>
      </c>
      <c r="D12" s="53">
        <v>45967</v>
      </c>
      <c r="E12" s="54">
        <v>12900</v>
      </c>
      <c r="F12" s="54">
        <v>750000</v>
      </c>
      <c r="G12" s="56" t="s">
        <v>335</v>
      </c>
      <c r="H12" s="84">
        <v>12900</v>
      </c>
      <c r="I12" s="52" t="s">
        <v>206</v>
      </c>
      <c r="J12" s="54">
        <v>31170</v>
      </c>
      <c r="K12" s="73"/>
      <c r="M12" s="62"/>
      <c r="O12" s="59">
        <v>45950</v>
      </c>
      <c r="P12" s="68"/>
      <c r="Q12" s="68"/>
      <c r="R12" s="68"/>
      <c r="S12" s="68"/>
      <c r="T12" s="68"/>
    </row>
    <row r="13" spans="1:21" x14ac:dyDescent="0.35">
      <c r="A13" s="55" t="s">
        <v>132</v>
      </c>
      <c r="B13" s="52" t="s">
        <v>190</v>
      </c>
      <c r="C13" s="52" t="s">
        <v>147</v>
      </c>
      <c r="D13" s="53">
        <v>45967</v>
      </c>
      <c r="E13" s="54">
        <v>59663</v>
      </c>
      <c r="F13" s="54">
        <v>2800000</v>
      </c>
      <c r="G13" s="56" t="s">
        <v>405</v>
      </c>
      <c r="H13" s="84"/>
      <c r="I13" s="52" t="s">
        <v>4</v>
      </c>
      <c r="J13" s="54">
        <v>5000</v>
      </c>
      <c r="M13" s="62"/>
      <c r="O13" s="59">
        <v>45951</v>
      </c>
      <c r="P13" s="68"/>
      <c r="Q13" s="68"/>
      <c r="R13" s="68"/>
      <c r="S13" s="68"/>
      <c r="T13" s="68"/>
    </row>
    <row r="14" spans="1:21" x14ac:dyDescent="0.35">
      <c r="A14" s="55" t="s">
        <v>139</v>
      </c>
      <c r="B14" s="52" t="s">
        <v>191</v>
      </c>
      <c r="C14" s="52" t="s">
        <v>137</v>
      </c>
      <c r="D14" s="53">
        <v>45967</v>
      </c>
      <c r="E14" s="54">
        <f>F14*0.0215</f>
        <v>14662.999999999998</v>
      </c>
      <c r="F14" s="54">
        <v>682000</v>
      </c>
      <c r="G14" s="56" t="s">
        <v>405</v>
      </c>
      <c r="H14" s="84"/>
      <c r="I14" s="52" t="s">
        <v>206</v>
      </c>
      <c r="J14" s="54"/>
      <c r="K14" s="54"/>
      <c r="L14" s="54"/>
      <c r="M14" s="62"/>
      <c r="O14" s="59">
        <v>45952</v>
      </c>
      <c r="P14" s="68"/>
      <c r="Q14" s="68"/>
      <c r="R14" s="68"/>
      <c r="S14" s="68"/>
      <c r="T14" s="68"/>
    </row>
    <row r="15" spans="1:21" x14ac:dyDescent="0.35">
      <c r="A15" s="55" t="s">
        <v>132</v>
      </c>
      <c r="B15" s="52" t="s">
        <v>191</v>
      </c>
      <c r="C15" s="52" t="s">
        <v>151</v>
      </c>
      <c r="D15" s="53">
        <v>45968</v>
      </c>
      <c r="E15" s="54">
        <f>F15*0.025</f>
        <v>6143.2750000000005</v>
      </c>
      <c r="F15" s="54">
        <v>245731</v>
      </c>
      <c r="G15" s="56" t="s">
        <v>405</v>
      </c>
      <c r="H15" s="84"/>
      <c r="I15" s="74">
        <f ca="1">L11</f>
        <v>45983</v>
      </c>
      <c r="J15" s="54">
        <v>0</v>
      </c>
      <c r="K15" s="54"/>
      <c r="L15" s="54"/>
      <c r="M15" s="62"/>
      <c r="O15" s="59">
        <v>45953</v>
      </c>
      <c r="P15" s="68"/>
      <c r="Q15" s="68"/>
      <c r="R15" s="68"/>
      <c r="S15" s="68"/>
      <c r="T15" s="68"/>
    </row>
    <row r="16" spans="1:21" x14ac:dyDescent="0.35">
      <c r="A16" s="55" t="s">
        <v>132</v>
      </c>
      <c r="B16" s="52" t="s">
        <v>191</v>
      </c>
      <c r="C16" s="52" t="s">
        <v>268</v>
      </c>
      <c r="D16" s="53">
        <v>45968</v>
      </c>
      <c r="E16" s="54">
        <v>1100</v>
      </c>
      <c r="F16" s="54">
        <v>17000</v>
      </c>
      <c r="G16" s="56" t="s">
        <v>405</v>
      </c>
      <c r="H16" s="84"/>
      <c r="I16" s="74">
        <f ca="1">$L$11+1</f>
        <v>45984</v>
      </c>
      <c r="J16" s="54">
        <v>20000</v>
      </c>
      <c r="K16" s="54"/>
      <c r="L16" s="54"/>
      <c r="O16" s="59">
        <v>45954</v>
      </c>
      <c r="P16" s="68"/>
      <c r="Q16" s="68"/>
      <c r="R16" s="68"/>
      <c r="S16" s="68"/>
      <c r="T16" s="68"/>
    </row>
    <row r="17" spans="1:21" x14ac:dyDescent="0.35">
      <c r="A17" s="55" t="s">
        <v>142</v>
      </c>
      <c r="B17" s="52" t="s">
        <v>191</v>
      </c>
      <c r="C17" s="52" t="s">
        <v>150</v>
      </c>
      <c r="D17" s="53">
        <v>45968</v>
      </c>
      <c r="E17" s="54">
        <v>13185</v>
      </c>
      <c r="F17" s="54">
        <v>217000</v>
      </c>
      <c r="G17" s="56" t="s">
        <v>405</v>
      </c>
      <c r="H17" s="98"/>
      <c r="I17" s="74">
        <f ca="1">$L$11+2</f>
        <v>45985</v>
      </c>
      <c r="J17" s="54">
        <v>20000</v>
      </c>
      <c r="K17" s="54"/>
      <c r="L17" s="54"/>
      <c r="M17" s="62"/>
      <c r="O17" s="59">
        <v>45955</v>
      </c>
      <c r="P17" s="68"/>
      <c r="Q17" s="68"/>
      <c r="R17" s="68"/>
      <c r="S17" s="68"/>
      <c r="T17" s="68"/>
    </row>
    <row r="18" spans="1:21" x14ac:dyDescent="0.35">
      <c r="A18" s="55" t="s">
        <v>142</v>
      </c>
      <c r="B18" s="52" t="s">
        <v>191</v>
      </c>
      <c r="C18" s="52" t="s">
        <v>137</v>
      </c>
      <c r="D18" s="53">
        <v>45970</v>
      </c>
      <c r="E18" s="54">
        <v>11532</v>
      </c>
      <c r="F18" s="54">
        <v>205000</v>
      </c>
      <c r="G18" s="56" t="s">
        <v>405</v>
      </c>
      <c r="H18" s="98"/>
      <c r="I18" s="74">
        <f ca="1">$L$11+3</f>
        <v>45986</v>
      </c>
      <c r="J18" s="54">
        <v>20000</v>
      </c>
      <c r="K18" s="54"/>
      <c r="L18" s="54"/>
      <c r="O18" s="59">
        <v>45956</v>
      </c>
      <c r="P18" s="68"/>
      <c r="Q18" s="68"/>
      <c r="R18" s="68"/>
      <c r="S18" s="68"/>
      <c r="T18" s="68"/>
    </row>
    <row r="19" spans="1:21" x14ac:dyDescent="0.35">
      <c r="A19" s="55" t="s">
        <v>145</v>
      </c>
      <c r="B19" s="64" t="s">
        <v>312</v>
      </c>
      <c r="C19" s="52" t="s">
        <v>313</v>
      </c>
      <c r="D19" s="53">
        <v>45971</v>
      </c>
      <c r="E19" s="118">
        <v>70000</v>
      </c>
      <c r="F19" s="95">
        <v>500000</v>
      </c>
      <c r="G19" s="121" t="s">
        <v>405</v>
      </c>
      <c r="H19" s="84"/>
      <c r="I19" s="74">
        <f ca="1">$L$11+4</f>
        <v>45987</v>
      </c>
      <c r="J19" s="54"/>
      <c r="K19" s="54"/>
      <c r="L19" s="54"/>
      <c r="P19" s="62">
        <f>COUNTA(P4:P18)*P3</f>
        <v>0</v>
      </c>
      <c r="Q19" s="62">
        <f t="shared" ref="Q19:U19" si="0">COUNTA(Q4:Q18)*Q3</f>
        <v>0</v>
      </c>
      <c r="R19" s="62">
        <f t="shared" si="0"/>
        <v>0</v>
      </c>
      <c r="S19" s="62">
        <f t="shared" si="0"/>
        <v>0</v>
      </c>
      <c r="T19" s="62">
        <f t="shared" si="0"/>
        <v>0</v>
      </c>
      <c r="U19" s="62">
        <f t="shared" si="0"/>
        <v>0</v>
      </c>
    </row>
    <row r="20" spans="1:21" x14ac:dyDescent="0.35">
      <c r="A20" s="55" t="s">
        <v>154</v>
      </c>
      <c r="B20" s="52" t="s">
        <v>190</v>
      </c>
      <c r="C20" s="52" t="s">
        <v>155</v>
      </c>
      <c r="D20" s="53">
        <v>45971</v>
      </c>
      <c r="E20" s="54">
        <v>35000</v>
      </c>
      <c r="F20" s="54">
        <v>608000</v>
      </c>
      <c r="G20" s="56" t="s">
        <v>200</v>
      </c>
      <c r="H20" s="84"/>
      <c r="I20" s="74">
        <f ca="1">$L$11+5</f>
        <v>45988</v>
      </c>
      <c r="J20" s="54"/>
      <c r="K20" s="54"/>
      <c r="L20" s="54"/>
    </row>
    <row r="21" spans="1:21" x14ac:dyDescent="0.35">
      <c r="A21" s="55" t="s">
        <v>132</v>
      </c>
      <c r="B21" s="52" t="s">
        <v>191</v>
      </c>
      <c r="C21" s="52" t="s">
        <v>140</v>
      </c>
      <c r="D21" s="53">
        <v>45971</v>
      </c>
      <c r="E21" s="54">
        <f>F21*0.0218</f>
        <v>1635</v>
      </c>
      <c r="F21" s="54">
        <v>75000</v>
      </c>
      <c r="G21" s="56" t="s">
        <v>200</v>
      </c>
      <c r="H21" s="84"/>
      <c r="I21" s="74">
        <f ca="1">$L$11+6</f>
        <v>45989</v>
      </c>
      <c r="J21" s="54"/>
      <c r="K21" s="54"/>
      <c r="L21" s="54"/>
      <c r="O21" s="51"/>
    </row>
    <row r="22" spans="1:21" x14ac:dyDescent="0.35">
      <c r="A22" s="55" t="s">
        <v>132</v>
      </c>
      <c r="B22" s="52" t="s">
        <v>191</v>
      </c>
      <c r="C22" s="52" t="s">
        <v>311</v>
      </c>
      <c r="D22" s="53">
        <v>45971</v>
      </c>
      <c r="E22" s="54">
        <v>3891</v>
      </c>
      <c r="F22" s="54">
        <v>31800</v>
      </c>
      <c r="G22" s="56" t="s">
        <v>200</v>
      </c>
      <c r="H22" s="84"/>
      <c r="I22" s="74">
        <f ca="1">$L$11+7</f>
        <v>45990</v>
      </c>
      <c r="J22" s="54"/>
      <c r="K22" s="54"/>
      <c r="L22" s="54"/>
      <c r="N22" s="62"/>
    </row>
    <row r="23" spans="1:21" x14ac:dyDescent="0.35">
      <c r="A23" s="55" t="s">
        <v>132</v>
      </c>
      <c r="B23" s="52" t="s">
        <v>191</v>
      </c>
      <c r="C23" s="52" t="s">
        <v>267</v>
      </c>
      <c r="D23" s="53">
        <v>45971</v>
      </c>
      <c r="E23" s="54">
        <f>F23*0.025</f>
        <v>6825</v>
      </c>
      <c r="F23" s="54">
        <v>273000</v>
      </c>
      <c r="G23" s="56" t="s">
        <v>200</v>
      </c>
      <c r="H23" s="84"/>
      <c r="I23" s="74" t="s">
        <v>319</v>
      </c>
      <c r="J23" s="54">
        <f>N28</f>
        <v>0</v>
      </c>
      <c r="K23" s="54"/>
      <c r="L23" s="86"/>
      <c r="N23" s="62"/>
    </row>
    <row r="24" spans="1:21" x14ac:dyDescent="0.35">
      <c r="A24" s="55" t="s">
        <v>156</v>
      </c>
      <c r="B24" s="52" t="s">
        <v>190</v>
      </c>
      <c r="C24" s="52" t="s">
        <v>149</v>
      </c>
      <c r="D24" s="53">
        <v>45971</v>
      </c>
      <c r="E24" s="54">
        <v>35000</v>
      </c>
      <c r="F24" s="54">
        <v>3400000</v>
      </c>
      <c r="G24" s="56" t="s">
        <v>200</v>
      </c>
      <c r="H24" s="84"/>
      <c r="I24" s="64" t="s">
        <v>3</v>
      </c>
      <c r="J24" s="54">
        <f>SUM(J12:J23)</f>
        <v>96170</v>
      </c>
      <c r="K24" s="54"/>
      <c r="L24" s="86"/>
      <c r="N24" s="62"/>
    </row>
    <row r="25" spans="1:21" x14ac:dyDescent="0.35">
      <c r="A25" s="99" t="s">
        <v>142</v>
      </c>
      <c r="B25" s="105" t="s">
        <v>191</v>
      </c>
      <c r="C25" s="100" t="s">
        <v>153</v>
      </c>
      <c r="D25" s="53">
        <v>45971</v>
      </c>
      <c r="E25" s="67">
        <v>6500</v>
      </c>
      <c r="F25" s="97">
        <v>108000</v>
      </c>
      <c r="G25" s="67" t="s">
        <v>200</v>
      </c>
      <c r="H25" s="84"/>
      <c r="I25" s="64" t="s">
        <v>190</v>
      </c>
      <c r="J25" s="54">
        <f>SUMIF(G3:G24,"",E3:E24)</f>
        <v>0</v>
      </c>
      <c r="K25" s="54"/>
      <c r="L25" s="86"/>
      <c r="N25" s="62"/>
    </row>
    <row r="26" spans="1:21" ht="15" thickBot="1" x14ac:dyDescent="0.4">
      <c r="A26" s="125" t="s">
        <v>3</v>
      </c>
      <c r="B26" s="126"/>
      <c r="C26" s="126"/>
      <c r="D26" s="80"/>
      <c r="E26" s="81">
        <f>SUM(E3:E25)</f>
        <v>396171.77500000002</v>
      </c>
      <c r="F26" s="81">
        <f>SUM(F3:F25)</f>
        <v>14282531</v>
      </c>
      <c r="G26" s="82"/>
      <c r="I26" s="64" t="s">
        <v>201</v>
      </c>
      <c r="J26" s="58">
        <f>J24-J25</f>
        <v>96170</v>
      </c>
      <c r="K26" s="54"/>
      <c r="L26" s="86"/>
      <c r="N26" s="62"/>
    </row>
    <row r="27" spans="1:21" x14ac:dyDescent="0.35">
      <c r="B27"/>
      <c r="C27" s="51"/>
      <c r="E27" s="24">
        <f>SUMIF(G3:G25,"",E3:E25)</f>
        <v>0</v>
      </c>
      <c r="F27" s="62">
        <f>400000-E27</f>
        <v>400000</v>
      </c>
      <c r="K27" s="62">
        <f>SUM(K14:K26)</f>
        <v>0</v>
      </c>
      <c r="N27" s="62"/>
    </row>
    <row r="28" spans="1:21" x14ac:dyDescent="0.35">
      <c r="E28">
        <v>133164</v>
      </c>
      <c r="G28" s="107"/>
      <c r="J28" s="62">
        <f>N32-K27</f>
        <v>0</v>
      </c>
      <c r="N28" s="62"/>
    </row>
    <row r="29" spans="1:21" x14ac:dyDescent="0.35">
      <c r="E29" s="62">
        <f>E27-E28</f>
        <v>-133164</v>
      </c>
    </row>
    <row r="30" spans="1:21" x14ac:dyDescent="0.35">
      <c r="J30" s="62"/>
    </row>
    <row r="31" spans="1:21" x14ac:dyDescent="0.35">
      <c r="J31" s="62"/>
    </row>
    <row r="32" spans="1:21" x14ac:dyDescent="0.35">
      <c r="J32" s="62"/>
      <c r="N32" s="62"/>
    </row>
    <row r="33" spans="10:10" x14ac:dyDescent="0.35">
      <c r="J33" s="62"/>
    </row>
    <row r="37" spans="10:10" x14ac:dyDescent="0.35">
      <c r="J37" s="24"/>
    </row>
    <row r="38" spans="10:10" x14ac:dyDescent="0.35">
      <c r="J38" s="24"/>
    </row>
    <row r="39" spans="10:10" x14ac:dyDescent="0.35">
      <c r="J39" s="62"/>
    </row>
  </sheetData>
  <sortState xmlns:xlrd2="http://schemas.microsoft.com/office/spreadsheetml/2017/richdata2" ref="A3:G25">
    <sortCondition ref="D2:D25"/>
  </sortState>
  <mergeCells count="5">
    <mergeCell ref="O1:S1"/>
    <mergeCell ref="A26:C26"/>
    <mergeCell ref="A1:F1"/>
    <mergeCell ref="I1:M1"/>
    <mergeCell ref="I11:J11"/>
  </mergeCells>
  <conditionalFormatting sqref="D1:D1048576">
    <cfRule type="cellIs" dxfId="11" priority="1" operator="equal">
      <formula>$L$11</formula>
    </cfRule>
    <cfRule type="cellIs" dxfId="10" priority="2" operator="equal">
      <formula>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B976-2D09-4209-8EF2-45379F541A50}">
  <dimension ref="A1:M28"/>
  <sheetViews>
    <sheetView topLeftCell="E1" zoomScale="108" workbookViewId="0">
      <selection activeCell="K4" sqref="K4"/>
    </sheetView>
  </sheetViews>
  <sheetFormatPr defaultRowHeight="14.5" x14ac:dyDescent="0.35"/>
  <cols>
    <col min="1" max="1" width="21.7265625" bestFit="1" customWidth="1"/>
    <col min="2" max="2" width="14.81640625" bestFit="1" customWidth="1"/>
    <col min="3" max="4" width="14.81640625" customWidth="1"/>
    <col min="5" max="5" width="13" bestFit="1" customWidth="1"/>
    <col min="6" max="6" width="13" style="62" customWidth="1"/>
    <col min="7" max="7" width="20" bestFit="1" customWidth="1"/>
    <col min="8" max="8" width="14.90625" bestFit="1" customWidth="1"/>
    <col min="9" max="9" width="13" customWidth="1"/>
    <col min="10" max="10" width="24.08984375" bestFit="1" customWidth="1"/>
    <col min="11" max="11" width="11" bestFit="1" customWidth="1"/>
    <col min="12" max="12" width="13.6328125" bestFit="1" customWidth="1"/>
    <col min="13" max="13" width="10.08984375" bestFit="1" customWidth="1"/>
  </cols>
  <sheetData>
    <row r="1" spans="1:13" x14ac:dyDescent="0.35">
      <c r="A1" s="60" t="s">
        <v>164</v>
      </c>
      <c r="B1" s="61" t="s">
        <v>165</v>
      </c>
      <c r="C1" s="61" t="s">
        <v>174</v>
      </c>
      <c r="D1" s="61" t="s">
        <v>165</v>
      </c>
      <c r="E1" s="61" t="s">
        <v>166</v>
      </c>
      <c r="F1" s="61" t="s">
        <v>292</v>
      </c>
      <c r="G1" s="89" t="s">
        <v>16</v>
      </c>
      <c r="H1" s="132" t="s">
        <v>6</v>
      </c>
      <c r="I1" s="133"/>
      <c r="J1" s="132" t="s">
        <v>176</v>
      </c>
      <c r="K1" s="133"/>
      <c r="L1" s="70" t="s">
        <v>233</v>
      </c>
      <c r="M1" s="72">
        <f ca="1">TODAY()</f>
        <v>45983</v>
      </c>
    </row>
    <row r="2" spans="1:13" x14ac:dyDescent="0.35">
      <c r="A2" s="91" t="s">
        <v>385</v>
      </c>
      <c r="B2" s="87">
        <v>3040</v>
      </c>
      <c r="C2" s="58"/>
      <c r="D2" s="58">
        <f t="shared" ref="D2:D24" si="0">B2-C2</f>
        <v>3040</v>
      </c>
      <c r="E2" s="59"/>
      <c r="F2" s="58"/>
      <c r="G2" s="59"/>
      <c r="H2" s="59"/>
      <c r="I2" s="58"/>
      <c r="J2" s="59" t="s">
        <v>201</v>
      </c>
      <c r="K2" s="87"/>
      <c r="L2" s="72">
        <v>45838</v>
      </c>
    </row>
    <row r="3" spans="1:13" x14ac:dyDescent="0.35">
      <c r="A3" s="91" t="s">
        <v>407</v>
      </c>
      <c r="B3" s="87">
        <v>39900</v>
      </c>
      <c r="C3" s="58"/>
      <c r="D3" s="58">
        <f t="shared" si="0"/>
        <v>39900</v>
      </c>
      <c r="E3" s="59"/>
      <c r="F3" s="58"/>
      <c r="G3" s="51"/>
      <c r="H3" s="59" t="s">
        <v>202</v>
      </c>
      <c r="I3" s="58">
        <v>148000</v>
      </c>
      <c r="J3" s="59" t="s">
        <v>403</v>
      </c>
      <c r="K3" s="87">
        <f>20000*9</f>
        <v>180000</v>
      </c>
      <c r="L3" s="73">
        <f ca="1">L2-M1</f>
        <v>-145</v>
      </c>
    </row>
    <row r="4" spans="1:13" x14ac:dyDescent="0.35">
      <c r="A4" s="91" t="s">
        <v>406</v>
      </c>
      <c r="B4" s="87">
        <f>3695+2400</f>
        <v>6095</v>
      </c>
      <c r="C4" s="58"/>
      <c r="D4" s="58">
        <f t="shared" si="0"/>
        <v>6095</v>
      </c>
      <c r="E4" s="59"/>
      <c r="F4" s="58"/>
      <c r="G4" s="51"/>
      <c r="H4" s="59" t="s">
        <v>408</v>
      </c>
      <c r="I4" s="58">
        <v>40000</v>
      </c>
      <c r="J4" s="59" t="s">
        <v>232</v>
      </c>
      <c r="K4" s="87">
        <f>I26</f>
        <v>920480</v>
      </c>
    </row>
    <row r="5" spans="1:13" x14ac:dyDescent="0.35">
      <c r="A5" s="91" t="s">
        <v>401</v>
      </c>
      <c r="B5" s="87">
        <v>18060</v>
      </c>
      <c r="C5" s="58"/>
      <c r="D5" s="58">
        <f t="shared" si="0"/>
        <v>18060</v>
      </c>
      <c r="E5" s="59"/>
      <c r="F5" s="58"/>
      <c r="G5" s="51"/>
      <c r="H5" t="s">
        <v>395</v>
      </c>
      <c r="I5" s="58">
        <v>305000</v>
      </c>
      <c r="J5" s="59" t="s">
        <v>205</v>
      </c>
      <c r="K5" s="87">
        <v>14000</v>
      </c>
    </row>
    <row r="6" spans="1:13" x14ac:dyDescent="0.35">
      <c r="A6" s="91" t="s">
        <v>400</v>
      </c>
      <c r="B6" s="87">
        <v>30000</v>
      </c>
      <c r="C6" s="58">
        <v>30000</v>
      </c>
      <c r="D6" s="58">
        <f t="shared" si="0"/>
        <v>0</v>
      </c>
      <c r="E6" s="59"/>
      <c r="F6" s="58"/>
      <c r="G6" s="51"/>
      <c r="H6" s="59" t="s">
        <v>396</v>
      </c>
      <c r="I6" s="58">
        <v>46480</v>
      </c>
      <c r="J6" s="59" t="s">
        <v>402</v>
      </c>
      <c r="K6" s="87">
        <v>59000</v>
      </c>
    </row>
    <row r="7" spans="1:13" x14ac:dyDescent="0.35">
      <c r="A7" s="91" t="s">
        <v>399</v>
      </c>
      <c r="B7" s="87">
        <v>27710</v>
      </c>
      <c r="C7" s="58"/>
      <c r="D7" s="58">
        <f t="shared" si="0"/>
        <v>27710</v>
      </c>
      <c r="E7" s="59"/>
      <c r="F7" s="58"/>
      <c r="G7" s="51"/>
      <c r="H7" s="59" t="s">
        <v>397</v>
      </c>
      <c r="I7" s="58">
        <v>216000</v>
      </c>
      <c r="J7" s="59" t="s">
        <v>155</v>
      </c>
      <c r="K7" s="87"/>
    </row>
    <row r="8" spans="1:13" x14ac:dyDescent="0.35">
      <c r="A8" s="92" t="s">
        <v>386</v>
      </c>
      <c r="B8" s="87">
        <v>8000</v>
      </c>
      <c r="C8" s="87">
        <v>8000</v>
      </c>
      <c r="D8" s="58">
        <f t="shared" si="0"/>
        <v>0</v>
      </c>
      <c r="E8" s="59"/>
      <c r="F8" s="58"/>
      <c r="G8" s="59"/>
      <c r="H8" s="59" t="s">
        <v>409</v>
      </c>
      <c r="I8" s="58">
        <f>15000+15000+3000</f>
        <v>33000</v>
      </c>
      <c r="J8" s="59" t="s">
        <v>4</v>
      </c>
      <c r="K8" s="87">
        <v>3000</v>
      </c>
    </row>
    <row r="9" spans="1:13" x14ac:dyDescent="0.35">
      <c r="A9" s="88" t="s">
        <v>284</v>
      </c>
      <c r="B9" s="87">
        <v>17680</v>
      </c>
      <c r="C9" s="58"/>
      <c r="D9" s="58">
        <f t="shared" si="0"/>
        <v>17680</v>
      </c>
      <c r="E9" s="59"/>
      <c r="F9" s="58"/>
      <c r="G9" s="59"/>
      <c r="H9" s="59" t="s">
        <v>398</v>
      </c>
      <c r="I9" s="58">
        <v>100000</v>
      </c>
      <c r="J9" s="59"/>
      <c r="K9" s="87"/>
    </row>
    <row r="10" spans="1:13" x14ac:dyDescent="0.35">
      <c r="A10" s="88" t="s">
        <v>387</v>
      </c>
      <c r="B10" s="87">
        <v>392000</v>
      </c>
      <c r="C10" s="58"/>
      <c r="D10" s="58">
        <f t="shared" si="0"/>
        <v>392000</v>
      </c>
      <c r="E10" s="59"/>
      <c r="F10" s="58"/>
      <c r="G10" s="59"/>
      <c r="H10" s="94" t="s">
        <v>410</v>
      </c>
      <c r="I10" s="58">
        <v>32000</v>
      </c>
      <c r="J10" s="59"/>
      <c r="K10" s="87"/>
    </row>
    <row r="11" spans="1:13" x14ac:dyDescent="0.35">
      <c r="A11" s="88" t="s">
        <v>388</v>
      </c>
      <c r="B11" s="87">
        <f>40000+14000</f>
        <v>54000</v>
      </c>
      <c r="C11" s="58"/>
      <c r="D11" s="58">
        <f t="shared" si="0"/>
        <v>54000</v>
      </c>
      <c r="E11" s="59"/>
      <c r="F11" s="58"/>
      <c r="G11" s="59"/>
      <c r="H11" s="59"/>
      <c r="I11" s="58"/>
      <c r="J11" s="59"/>
      <c r="K11" s="87"/>
    </row>
    <row r="12" spans="1:13" x14ac:dyDescent="0.35">
      <c r="A12" s="88" t="s">
        <v>167</v>
      </c>
      <c r="B12" s="87">
        <f>24580+7510+55500</f>
        <v>87590</v>
      </c>
      <c r="C12" s="58">
        <v>29602</v>
      </c>
      <c r="D12" s="58">
        <f t="shared" si="0"/>
        <v>57988</v>
      </c>
      <c r="E12" s="59"/>
      <c r="F12" s="58"/>
      <c r="G12" s="59"/>
      <c r="H12" s="59"/>
      <c r="I12" s="58"/>
      <c r="J12" s="59"/>
      <c r="K12" s="87"/>
    </row>
    <row r="13" spans="1:13" x14ac:dyDescent="0.35">
      <c r="A13" s="88" t="s">
        <v>389</v>
      </c>
      <c r="B13" s="87">
        <v>32496</v>
      </c>
      <c r="C13" s="62"/>
      <c r="D13" s="58">
        <f t="shared" si="0"/>
        <v>32496</v>
      </c>
      <c r="E13" s="59"/>
      <c r="F13" s="58"/>
      <c r="G13" s="59"/>
      <c r="H13" s="94"/>
      <c r="I13" s="58"/>
      <c r="J13" s="59"/>
      <c r="K13" s="87"/>
    </row>
    <row r="14" spans="1:13" x14ac:dyDescent="0.35">
      <c r="A14" s="92" t="s">
        <v>390</v>
      </c>
      <c r="B14" s="87">
        <v>6000</v>
      </c>
      <c r="C14" s="58"/>
      <c r="D14" s="58">
        <f t="shared" si="0"/>
        <v>6000</v>
      </c>
      <c r="E14" s="59"/>
      <c r="F14" s="58"/>
      <c r="G14" s="59"/>
      <c r="H14" s="94"/>
      <c r="I14" s="58"/>
      <c r="J14" s="59"/>
      <c r="K14" s="87"/>
    </row>
    <row r="15" spans="1:13" x14ac:dyDescent="0.35">
      <c r="A15" s="88" t="s">
        <v>391</v>
      </c>
      <c r="B15" s="87">
        <v>125000</v>
      </c>
      <c r="D15" s="58">
        <f t="shared" si="0"/>
        <v>125000</v>
      </c>
      <c r="E15" s="59"/>
      <c r="F15" s="58"/>
      <c r="G15" s="59"/>
      <c r="H15" s="94"/>
      <c r="I15" s="58"/>
      <c r="J15" s="59"/>
      <c r="K15" s="87"/>
    </row>
    <row r="16" spans="1:13" x14ac:dyDescent="0.35">
      <c r="A16" s="93" t="s">
        <v>392</v>
      </c>
      <c r="B16" s="87">
        <v>275000</v>
      </c>
      <c r="C16" s="58"/>
      <c r="D16" s="58">
        <f t="shared" si="0"/>
        <v>275000</v>
      </c>
      <c r="E16" s="59"/>
      <c r="F16" s="58"/>
      <c r="G16" s="59"/>
      <c r="H16" s="94"/>
      <c r="I16" s="62"/>
      <c r="J16" s="59"/>
      <c r="K16" s="87"/>
    </row>
    <row r="17" spans="1:11" x14ac:dyDescent="0.35">
      <c r="A17" s="92" t="s">
        <v>393</v>
      </c>
      <c r="B17" s="87">
        <v>105221</v>
      </c>
      <c r="C17" s="87">
        <v>105221</v>
      </c>
      <c r="D17" s="58">
        <f t="shared" si="0"/>
        <v>0</v>
      </c>
      <c r="E17" s="59"/>
      <c r="F17" s="58"/>
      <c r="G17" s="59"/>
      <c r="H17" s="94"/>
      <c r="I17" s="62"/>
      <c r="J17" s="59"/>
      <c r="K17" s="87"/>
    </row>
    <row r="18" spans="1:11" x14ac:dyDescent="0.35">
      <c r="A18" s="92" t="s">
        <v>394</v>
      </c>
      <c r="B18" s="87">
        <f>EMI!E27</f>
        <v>0</v>
      </c>
      <c r="C18" s="87"/>
      <c r="D18" s="58">
        <f t="shared" si="0"/>
        <v>0</v>
      </c>
      <c r="E18" s="59"/>
      <c r="F18" s="58"/>
      <c r="G18" s="59"/>
      <c r="H18" s="94"/>
      <c r="I18" s="62"/>
      <c r="J18" s="59"/>
      <c r="K18" s="87"/>
    </row>
    <row r="19" spans="1:11" x14ac:dyDescent="0.35">
      <c r="A19" s="92" t="s">
        <v>256</v>
      </c>
      <c r="B19" s="87">
        <v>12000</v>
      </c>
      <c r="C19" s="87">
        <v>12000</v>
      </c>
      <c r="D19" s="58">
        <f t="shared" si="0"/>
        <v>0</v>
      </c>
      <c r="E19" s="59"/>
      <c r="F19" s="58"/>
      <c r="G19" s="59"/>
      <c r="H19" s="94"/>
      <c r="I19" s="62"/>
      <c r="J19" s="59"/>
      <c r="K19" s="87">
        <f>SUM(K2:K13)</f>
        <v>1176480</v>
      </c>
    </row>
    <row r="20" spans="1:11" x14ac:dyDescent="0.35">
      <c r="A20" s="92" t="s">
        <v>51</v>
      </c>
      <c r="B20" s="87">
        <v>56000</v>
      </c>
      <c r="C20" s="87">
        <v>56000</v>
      </c>
      <c r="D20" s="58">
        <f t="shared" si="0"/>
        <v>0</v>
      </c>
      <c r="E20" s="59"/>
      <c r="F20" s="58"/>
      <c r="G20" s="59"/>
      <c r="H20" s="94"/>
      <c r="I20" s="62"/>
      <c r="J20" s="59"/>
      <c r="K20" s="87"/>
    </row>
    <row r="21" spans="1:11" x14ac:dyDescent="0.35">
      <c r="A21" s="92" t="s">
        <v>75</v>
      </c>
      <c r="B21" s="87">
        <v>110000</v>
      </c>
      <c r="C21" s="87">
        <v>110000</v>
      </c>
      <c r="D21" s="58">
        <f t="shared" si="0"/>
        <v>0</v>
      </c>
      <c r="E21" s="59"/>
      <c r="F21" s="58"/>
      <c r="G21" s="59"/>
      <c r="H21" s="94"/>
      <c r="I21" s="62"/>
      <c r="J21" s="71"/>
    </row>
    <row r="22" spans="1:11" x14ac:dyDescent="0.35">
      <c r="A22" s="92" t="s">
        <v>285</v>
      </c>
      <c r="B22" s="87">
        <v>100000</v>
      </c>
      <c r="C22" s="87">
        <v>70000</v>
      </c>
      <c r="D22" s="58">
        <f t="shared" si="0"/>
        <v>30000</v>
      </c>
      <c r="E22" s="59"/>
      <c r="F22" s="58"/>
      <c r="G22" s="59"/>
      <c r="H22" s="94"/>
      <c r="I22" s="62"/>
    </row>
    <row r="23" spans="1:11" x14ac:dyDescent="0.35">
      <c r="A23" s="57"/>
      <c r="B23" s="58"/>
      <c r="C23" s="58"/>
      <c r="D23" s="58">
        <f t="shared" si="0"/>
        <v>0</v>
      </c>
      <c r="E23" s="59"/>
      <c r="F23" s="58"/>
      <c r="G23" s="59"/>
      <c r="H23" s="94"/>
      <c r="I23" s="62"/>
    </row>
    <row r="24" spans="1:11" x14ac:dyDescent="0.35">
      <c r="A24" s="57" t="s">
        <v>3</v>
      </c>
      <c r="B24" s="58">
        <f>SUM(B2:B23)</f>
        <v>1505792</v>
      </c>
      <c r="C24" s="58">
        <f>SUM(C2:C23)</f>
        <v>420823</v>
      </c>
      <c r="D24" s="58">
        <f t="shared" si="0"/>
        <v>1084969</v>
      </c>
      <c r="E24" s="59"/>
      <c r="F24" s="58"/>
      <c r="G24" s="59"/>
      <c r="H24" s="94"/>
      <c r="I24" s="62"/>
    </row>
    <row r="25" spans="1:11" x14ac:dyDescent="0.35">
      <c r="C25" s="62"/>
      <c r="D25" s="62"/>
      <c r="E25" s="59"/>
      <c r="F25" s="61"/>
      <c r="G25" s="59"/>
      <c r="H25" s="59"/>
      <c r="I25" s="58"/>
    </row>
    <row r="26" spans="1:11" x14ac:dyDescent="0.35">
      <c r="F26" s="58"/>
      <c r="G26" s="59"/>
      <c r="H26" s="59" t="s">
        <v>3</v>
      </c>
      <c r="I26" s="58">
        <f>SUM(I3:I25)</f>
        <v>920480</v>
      </c>
    </row>
    <row r="27" spans="1:11" x14ac:dyDescent="0.35">
      <c r="F27" s="58"/>
      <c r="G27" s="59"/>
      <c r="H27" s="120" t="s">
        <v>201</v>
      </c>
      <c r="I27" s="119">
        <f>K19-D24</f>
        <v>91511</v>
      </c>
    </row>
    <row r="28" spans="1:11" x14ac:dyDescent="0.35">
      <c r="F28" s="119"/>
    </row>
  </sheetData>
  <sortState xmlns:xlrd2="http://schemas.microsoft.com/office/spreadsheetml/2017/richdata2" ref="A2:E24">
    <sortCondition ref="C2:C24"/>
  </sortState>
  <mergeCells count="2">
    <mergeCell ref="H1:I1"/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A22D-5493-4F33-A63F-3376474767F8}">
  <dimension ref="A1:Y39"/>
  <sheetViews>
    <sheetView workbookViewId="0">
      <selection activeCell="C16" sqref="C16"/>
    </sheetView>
  </sheetViews>
  <sheetFormatPr defaultRowHeight="14.5" x14ac:dyDescent="0.35"/>
  <cols>
    <col min="1" max="1" width="17.54296875" bestFit="1" customWidth="1"/>
    <col min="2" max="2" width="20.1796875" bestFit="1" customWidth="1"/>
    <col min="3" max="3" width="17.7265625" bestFit="1" customWidth="1"/>
    <col min="4" max="4" width="11.36328125" bestFit="1" customWidth="1"/>
    <col min="5" max="5" width="10" bestFit="1" customWidth="1"/>
    <col min="6" max="6" width="12.54296875" bestFit="1" customWidth="1"/>
    <col min="7" max="9" width="12.54296875" customWidth="1"/>
    <col min="10" max="10" width="9.1796875" bestFit="1" customWidth="1"/>
    <col min="11" max="11" width="4.7265625" bestFit="1" customWidth="1"/>
    <col min="12" max="12" width="12.90625" bestFit="1" customWidth="1"/>
    <col min="13" max="13" width="11.36328125" bestFit="1" customWidth="1"/>
    <col min="14" max="14" width="8.453125" bestFit="1" customWidth="1"/>
    <col min="15" max="15" width="11.08984375" bestFit="1" customWidth="1"/>
    <col min="16" max="16" width="10" bestFit="1" customWidth="1"/>
    <col min="17" max="17" width="12.54296875" bestFit="1" customWidth="1"/>
    <col min="18" max="18" width="11" bestFit="1" customWidth="1"/>
    <col min="19" max="19" width="14.08984375" bestFit="1" customWidth="1"/>
    <col min="20" max="20" width="6.6328125" bestFit="1" customWidth="1"/>
    <col min="21" max="21" width="7.453125" bestFit="1" customWidth="1"/>
    <col min="22" max="22" width="11" bestFit="1" customWidth="1"/>
    <col min="23" max="23" width="17.7265625" bestFit="1" customWidth="1"/>
    <col min="24" max="24" width="11" bestFit="1" customWidth="1"/>
    <col min="25" max="25" width="10" bestFit="1" customWidth="1"/>
  </cols>
  <sheetData>
    <row r="1" spans="1:24" x14ac:dyDescent="0.35">
      <c r="A1" s="77" t="s">
        <v>157</v>
      </c>
      <c r="B1" s="78" t="s">
        <v>189</v>
      </c>
      <c r="C1" s="78" t="s">
        <v>69</v>
      </c>
      <c r="D1" s="78" t="s">
        <v>158</v>
      </c>
      <c r="E1" s="78" t="s">
        <v>65</v>
      </c>
      <c r="F1" s="78" t="s">
        <v>159</v>
      </c>
      <c r="G1" s="102"/>
      <c r="H1" s="102" t="s">
        <v>316</v>
      </c>
      <c r="I1" s="102"/>
      <c r="J1" s="63" t="s">
        <v>157</v>
      </c>
      <c r="K1" s="63" t="s">
        <v>189</v>
      </c>
      <c r="L1" s="63" t="s">
        <v>69</v>
      </c>
      <c r="M1" s="63" t="s">
        <v>158</v>
      </c>
      <c r="N1" s="63" t="s">
        <v>65</v>
      </c>
      <c r="O1" s="63" t="s">
        <v>159</v>
      </c>
      <c r="P1" s="63" t="s">
        <v>200</v>
      </c>
      <c r="Q1" s="63" t="s">
        <v>270</v>
      </c>
      <c r="S1" s="134" t="s">
        <v>176</v>
      </c>
      <c r="T1" s="134"/>
      <c r="U1" s="134"/>
      <c r="V1" s="134"/>
      <c r="W1" s="134"/>
    </row>
    <row r="2" spans="1:24" x14ac:dyDescent="0.35">
      <c r="A2" s="55" t="s">
        <v>132</v>
      </c>
      <c r="B2" s="52" t="s">
        <v>191</v>
      </c>
      <c r="C2" s="52" t="s">
        <v>137</v>
      </c>
      <c r="D2" s="53">
        <v>45834</v>
      </c>
      <c r="E2" s="54">
        <v>9985</v>
      </c>
      <c r="F2" s="54">
        <v>257406</v>
      </c>
      <c r="G2" s="54">
        <f>F2</f>
        <v>257406</v>
      </c>
      <c r="H2" s="54">
        <f>IF(G2="",E2,0)</f>
        <v>0</v>
      </c>
      <c r="I2" s="54">
        <f>IF(G2&lt;&gt;"",E2,0)</f>
        <v>9985</v>
      </c>
      <c r="J2" s="52" t="s">
        <v>132</v>
      </c>
      <c r="K2" s="52" t="s">
        <v>190</v>
      </c>
      <c r="L2" s="52" t="s">
        <v>57</v>
      </c>
      <c r="M2" s="53">
        <v>45810</v>
      </c>
      <c r="N2" s="54">
        <v>17247</v>
      </c>
      <c r="O2" s="54">
        <v>80436</v>
      </c>
      <c r="P2" s="54">
        <v>80436</v>
      </c>
      <c r="Q2" s="54">
        <f t="shared" ref="Q2:Q16" si="0">O2-P2</f>
        <v>0</v>
      </c>
      <c r="S2" s="63" t="s">
        <v>157</v>
      </c>
      <c r="T2" s="63" t="s">
        <v>271</v>
      </c>
      <c r="U2" s="63" t="s">
        <v>69</v>
      </c>
      <c r="V2" s="63" t="s">
        <v>65</v>
      </c>
      <c r="W2" s="63" t="s">
        <v>16</v>
      </c>
    </row>
    <row r="3" spans="1:24" x14ac:dyDescent="0.35">
      <c r="A3" s="55" t="s">
        <v>132</v>
      </c>
      <c r="B3" s="52" t="s">
        <v>191</v>
      </c>
      <c r="C3" s="52" t="s">
        <v>138</v>
      </c>
      <c r="D3" s="53">
        <v>45838</v>
      </c>
      <c r="E3" s="54">
        <v>2500</v>
      </c>
      <c r="F3" s="54">
        <v>25000</v>
      </c>
      <c r="G3" s="54">
        <f>F3</f>
        <v>25000</v>
      </c>
      <c r="H3" s="54">
        <f t="shared" ref="H3:H25" si="1">IF(G3="",E3,0)</f>
        <v>0</v>
      </c>
      <c r="I3" s="54">
        <f t="shared" ref="I3:I25" si="2">IF(G3&lt;&gt;"",E3,0)</f>
        <v>2500</v>
      </c>
      <c r="J3" s="52" t="s">
        <v>132</v>
      </c>
      <c r="K3" s="52" t="s">
        <v>190</v>
      </c>
      <c r="L3" s="52" t="s">
        <v>141</v>
      </c>
      <c r="M3" s="53">
        <v>45808</v>
      </c>
      <c r="N3" s="54">
        <v>5700</v>
      </c>
      <c r="O3" s="54">
        <v>118000</v>
      </c>
      <c r="P3" s="54">
        <v>118000</v>
      </c>
      <c r="Q3" s="54">
        <f t="shared" si="0"/>
        <v>0</v>
      </c>
      <c r="S3" s="52" t="s">
        <v>145</v>
      </c>
      <c r="T3" s="52" t="s">
        <v>51</v>
      </c>
      <c r="U3" s="52" t="s">
        <v>63</v>
      </c>
      <c r="V3" s="54">
        <v>824543</v>
      </c>
      <c r="W3" s="52" t="s">
        <v>275</v>
      </c>
    </row>
    <row r="4" spans="1:24" x14ac:dyDescent="0.35">
      <c r="A4" s="55" t="s">
        <v>139</v>
      </c>
      <c r="B4" s="52" t="s">
        <v>191</v>
      </c>
      <c r="C4" s="52" t="s">
        <v>140</v>
      </c>
      <c r="D4" s="53">
        <v>45839</v>
      </c>
      <c r="E4" s="54">
        <f>F4*0.025</f>
        <v>3069.875</v>
      </c>
      <c r="F4" s="54">
        <v>122795</v>
      </c>
      <c r="G4" s="54">
        <f>F4</f>
        <v>122795</v>
      </c>
      <c r="H4" s="54">
        <f t="shared" si="1"/>
        <v>0</v>
      </c>
      <c r="I4" s="54">
        <f t="shared" si="2"/>
        <v>3069.875</v>
      </c>
      <c r="J4" s="52" t="s">
        <v>132</v>
      </c>
      <c r="K4" s="52" t="s">
        <v>190</v>
      </c>
      <c r="L4" s="52" t="s">
        <v>58</v>
      </c>
      <c r="M4" s="53">
        <v>45811</v>
      </c>
      <c r="N4" s="54">
        <v>9999</v>
      </c>
      <c r="O4" s="54">
        <v>278749</v>
      </c>
      <c r="P4" s="54">
        <v>278749</v>
      </c>
      <c r="Q4" s="54">
        <f t="shared" si="0"/>
        <v>0</v>
      </c>
      <c r="S4" s="52" t="s">
        <v>145</v>
      </c>
      <c r="T4" s="52" t="s">
        <v>51</v>
      </c>
      <c r="U4" s="52" t="s">
        <v>274</v>
      </c>
      <c r="V4" s="54">
        <v>69000</v>
      </c>
      <c r="W4" s="52" t="s">
        <v>275</v>
      </c>
    </row>
    <row r="5" spans="1:24" x14ac:dyDescent="0.35">
      <c r="A5" s="55" t="s">
        <v>142</v>
      </c>
      <c r="B5" s="52" t="s">
        <v>191</v>
      </c>
      <c r="C5" s="52" t="s">
        <v>64</v>
      </c>
      <c r="D5" s="53">
        <v>45840</v>
      </c>
      <c r="E5" s="54">
        <v>9823</v>
      </c>
      <c r="F5" s="54">
        <f>200000-38000</f>
        <v>162000</v>
      </c>
      <c r="G5" s="54">
        <f>F5</f>
        <v>162000</v>
      </c>
      <c r="H5" s="54">
        <f t="shared" si="1"/>
        <v>0</v>
      </c>
      <c r="I5" s="54">
        <f t="shared" si="2"/>
        <v>9823</v>
      </c>
      <c r="J5" s="52" t="s">
        <v>132</v>
      </c>
      <c r="K5" s="52" t="s">
        <v>190</v>
      </c>
      <c r="L5" s="52" t="s">
        <v>55</v>
      </c>
      <c r="M5" s="53">
        <v>45810</v>
      </c>
      <c r="N5" s="54">
        <v>17544</v>
      </c>
      <c r="O5" s="54">
        <v>278894</v>
      </c>
      <c r="P5" s="54">
        <v>278894</v>
      </c>
      <c r="Q5" s="54">
        <f t="shared" si="0"/>
        <v>0</v>
      </c>
      <c r="S5" s="52" t="s">
        <v>132</v>
      </c>
      <c r="T5" s="52" t="s">
        <v>51</v>
      </c>
      <c r="U5" s="52" t="s">
        <v>205</v>
      </c>
      <c r="V5" s="54">
        <v>40000</v>
      </c>
      <c r="W5" s="52" t="s">
        <v>275</v>
      </c>
    </row>
    <row r="6" spans="1:24" x14ac:dyDescent="0.35">
      <c r="A6" s="55" t="s">
        <v>132</v>
      </c>
      <c r="B6" s="52" t="s">
        <v>190</v>
      </c>
      <c r="C6" s="52" t="s">
        <v>56</v>
      </c>
      <c r="D6" s="53">
        <v>45840</v>
      </c>
      <c r="E6" s="54">
        <v>32392</v>
      </c>
      <c r="F6" s="54">
        <f>E6</f>
        <v>32392</v>
      </c>
      <c r="G6" s="54">
        <v>0</v>
      </c>
      <c r="H6" s="54">
        <f t="shared" si="1"/>
        <v>0</v>
      </c>
      <c r="I6" s="54">
        <f t="shared" si="2"/>
        <v>32392</v>
      </c>
      <c r="J6" s="52" t="s">
        <v>132</v>
      </c>
      <c r="K6" s="52" t="s">
        <v>190</v>
      </c>
      <c r="L6" s="52" t="s">
        <v>143</v>
      </c>
      <c r="M6" s="53">
        <v>45812</v>
      </c>
      <c r="N6" s="54">
        <v>3186</v>
      </c>
      <c r="O6" s="54">
        <v>24000</v>
      </c>
      <c r="P6" s="54">
        <v>8000</v>
      </c>
      <c r="Q6" s="54">
        <f t="shared" si="0"/>
        <v>16000</v>
      </c>
      <c r="S6" s="131" t="s">
        <v>3</v>
      </c>
      <c r="T6" s="131"/>
      <c r="U6" s="131"/>
      <c r="V6" s="54">
        <f>SUM(V3:V5)</f>
        <v>933543</v>
      </c>
      <c r="W6" s="52"/>
    </row>
    <row r="7" spans="1:24" x14ac:dyDescent="0.35">
      <c r="A7" s="55" t="s">
        <v>132</v>
      </c>
      <c r="B7" s="52" t="s">
        <v>191</v>
      </c>
      <c r="C7" s="52" t="s">
        <v>140</v>
      </c>
      <c r="D7" s="53">
        <v>45842</v>
      </c>
      <c r="E7" s="54">
        <f>F7*0.025</f>
        <v>731.75</v>
      </c>
      <c r="F7" s="54">
        <v>29270</v>
      </c>
      <c r="G7" s="54">
        <v>69000</v>
      </c>
      <c r="H7" s="54">
        <f t="shared" si="1"/>
        <v>0</v>
      </c>
      <c r="I7" s="54">
        <f t="shared" si="2"/>
        <v>731.75</v>
      </c>
      <c r="J7" s="52" t="s">
        <v>132</v>
      </c>
      <c r="K7" s="52" t="s">
        <v>191</v>
      </c>
      <c r="L7" s="52" t="s">
        <v>138</v>
      </c>
      <c r="M7" s="53">
        <v>45807</v>
      </c>
      <c r="N7" s="54">
        <v>2500</v>
      </c>
      <c r="O7" s="54">
        <v>20000</v>
      </c>
      <c r="P7" s="54">
        <v>3000</v>
      </c>
      <c r="Q7" s="54">
        <f t="shared" si="0"/>
        <v>17000</v>
      </c>
      <c r="S7" s="52" t="s">
        <v>272</v>
      </c>
      <c r="T7" s="52" t="s">
        <v>272</v>
      </c>
      <c r="U7" s="52" t="s">
        <v>273</v>
      </c>
      <c r="V7" s="54">
        <v>282635</v>
      </c>
      <c r="W7" s="52" t="s">
        <v>276</v>
      </c>
    </row>
    <row r="8" spans="1:24" x14ac:dyDescent="0.35">
      <c r="A8" s="55" t="s">
        <v>132</v>
      </c>
      <c r="B8" s="52" t="s">
        <v>190</v>
      </c>
      <c r="C8" s="52" t="s">
        <v>143</v>
      </c>
      <c r="D8" s="53">
        <v>45842</v>
      </c>
      <c r="E8" s="54">
        <v>3186</v>
      </c>
      <c r="F8" s="54">
        <v>15000</v>
      </c>
      <c r="G8" s="54">
        <v>15000</v>
      </c>
      <c r="H8" s="54">
        <f t="shared" si="1"/>
        <v>0</v>
      </c>
      <c r="I8" s="54">
        <f t="shared" si="2"/>
        <v>3186</v>
      </c>
      <c r="J8" s="52" t="s">
        <v>132</v>
      </c>
      <c r="K8" s="52" t="s">
        <v>191</v>
      </c>
      <c r="L8" s="52" t="s">
        <v>268</v>
      </c>
      <c r="M8" s="53">
        <v>45815</v>
      </c>
      <c r="N8" s="54">
        <v>1300</v>
      </c>
      <c r="O8" s="54">
        <v>20000</v>
      </c>
      <c r="P8" s="54">
        <v>3000</v>
      </c>
      <c r="Q8" s="54">
        <f t="shared" si="0"/>
        <v>17000</v>
      </c>
      <c r="S8" s="131" t="s">
        <v>3</v>
      </c>
      <c r="T8" s="131"/>
      <c r="U8" s="131"/>
      <c r="V8" s="54">
        <f>V6+V7</f>
        <v>1216178</v>
      </c>
      <c r="W8" s="52"/>
    </row>
    <row r="9" spans="1:24" x14ac:dyDescent="0.35">
      <c r="A9" s="55" t="s">
        <v>139</v>
      </c>
      <c r="B9" s="52" t="s">
        <v>191</v>
      </c>
      <c r="C9" s="52" t="s">
        <v>137</v>
      </c>
      <c r="D9" s="53">
        <v>45844</v>
      </c>
      <c r="E9" s="54">
        <f>F9*0.05</f>
        <v>3468.15</v>
      </c>
      <c r="F9" s="54">
        <v>69363</v>
      </c>
      <c r="G9" s="54">
        <v>69363</v>
      </c>
      <c r="H9" s="54">
        <f t="shared" si="1"/>
        <v>0</v>
      </c>
      <c r="I9" s="54">
        <f t="shared" si="2"/>
        <v>3468.15</v>
      </c>
      <c r="J9" s="52" t="s">
        <v>132</v>
      </c>
      <c r="K9" s="52" t="s">
        <v>191</v>
      </c>
      <c r="L9" s="52" t="s">
        <v>137</v>
      </c>
      <c r="M9" s="53">
        <v>45803</v>
      </c>
      <c r="N9" s="54">
        <v>9985</v>
      </c>
      <c r="O9" s="54">
        <v>273000</v>
      </c>
      <c r="P9" s="54">
        <v>253500</v>
      </c>
      <c r="Q9" s="54">
        <f t="shared" si="0"/>
        <v>19500</v>
      </c>
    </row>
    <row r="10" spans="1:24" x14ac:dyDescent="0.35">
      <c r="A10" s="55" t="s">
        <v>139</v>
      </c>
      <c r="B10" s="52" t="s">
        <v>191</v>
      </c>
      <c r="C10" s="52" t="s">
        <v>144</v>
      </c>
      <c r="D10" s="53">
        <v>45843</v>
      </c>
      <c r="E10" s="54">
        <f>6538+8530</f>
        <v>15068</v>
      </c>
      <c r="F10" s="54">
        <v>200000</v>
      </c>
      <c r="G10" s="54"/>
      <c r="H10" s="54">
        <f t="shared" si="1"/>
        <v>15068</v>
      </c>
      <c r="I10" s="54">
        <f t="shared" si="2"/>
        <v>0</v>
      </c>
      <c r="J10" s="52" t="s">
        <v>132</v>
      </c>
      <c r="K10" s="52" t="s">
        <v>190</v>
      </c>
      <c r="L10" s="52" t="s">
        <v>56</v>
      </c>
      <c r="M10" s="53">
        <v>45810</v>
      </c>
      <c r="N10" s="54">
        <v>32392</v>
      </c>
      <c r="O10" s="54">
        <v>32392</v>
      </c>
      <c r="P10" s="54">
        <v>0</v>
      </c>
      <c r="Q10" s="54">
        <f t="shared" si="0"/>
        <v>32392</v>
      </c>
      <c r="S10" s="135" t="s">
        <v>6</v>
      </c>
      <c r="T10" s="135"/>
      <c r="U10" s="135"/>
      <c r="V10" s="135"/>
      <c r="W10" s="135"/>
    </row>
    <row r="11" spans="1:24" x14ac:dyDescent="0.35">
      <c r="A11" s="55" t="s">
        <v>145</v>
      </c>
      <c r="B11" s="52" t="s">
        <v>190</v>
      </c>
      <c r="C11" s="52" t="s">
        <v>146</v>
      </c>
      <c r="D11" s="53">
        <v>45843</v>
      </c>
      <c r="E11" s="54">
        <v>37000</v>
      </c>
      <c r="F11" s="54">
        <v>860000</v>
      </c>
      <c r="G11" s="54"/>
      <c r="H11" s="54">
        <f t="shared" si="1"/>
        <v>37000</v>
      </c>
      <c r="I11" s="54">
        <f t="shared" si="2"/>
        <v>0</v>
      </c>
      <c r="J11" s="52" t="s">
        <v>132</v>
      </c>
      <c r="K11" s="52" t="s">
        <v>191</v>
      </c>
      <c r="L11" s="52" t="s">
        <v>151</v>
      </c>
      <c r="M11" s="53">
        <v>45815</v>
      </c>
      <c r="N11" s="54">
        <v>6320</v>
      </c>
      <c r="O11" s="54">
        <v>271000</v>
      </c>
      <c r="P11" s="54">
        <v>233566</v>
      </c>
      <c r="Q11" s="54">
        <f t="shared" si="0"/>
        <v>37434</v>
      </c>
      <c r="S11" s="63" t="s">
        <v>157</v>
      </c>
      <c r="T11" s="63"/>
      <c r="U11" s="63" t="s">
        <v>69</v>
      </c>
      <c r="V11" s="63" t="s">
        <v>65</v>
      </c>
      <c r="W11" s="63" t="s">
        <v>16</v>
      </c>
      <c r="X11" s="63" t="s">
        <v>2</v>
      </c>
    </row>
    <row r="12" spans="1:24" x14ac:dyDescent="0.35">
      <c r="A12" s="55" t="s">
        <v>132</v>
      </c>
      <c r="B12" s="52" t="s">
        <v>190</v>
      </c>
      <c r="C12" s="52" t="s">
        <v>147</v>
      </c>
      <c r="D12" s="53">
        <v>45844</v>
      </c>
      <c r="E12" s="54">
        <v>59663</v>
      </c>
      <c r="F12" s="54">
        <v>3100000</v>
      </c>
      <c r="G12" s="54"/>
      <c r="H12" s="54">
        <f t="shared" si="1"/>
        <v>59663</v>
      </c>
      <c r="I12" s="54">
        <f t="shared" si="2"/>
        <v>0</v>
      </c>
      <c r="J12" s="52" t="s">
        <v>132</v>
      </c>
      <c r="K12" s="52" t="s">
        <v>191</v>
      </c>
      <c r="L12" s="52" t="s">
        <v>140</v>
      </c>
      <c r="M12" s="53">
        <v>45818</v>
      </c>
      <c r="N12" s="54">
        <v>6320</v>
      </c>
      <c r="O12" s="54">
        <v>75000</v>
      </c>
      <c r="P12" s="54">
        <v>25000</v>
      </c>
      <c r="Q12" s="69">
        <f t="shared" si="0"/>
        <v>50000</v>
      </c>
      <c r="S12" s="52" t="s">
        <v>132</v>
      </c>
      <c r="T12" s="52"/>
      <c r="U12" s="52" t="s">
        <v>205</v>
      </c>
      <c r="V12" s="54">
        <v>700000</v>
      </c>
      <c r="W12" s="52" t="s">
        <v>277</v>
      </c>
      <c r="X12" s="54">
        <v>700000</v>
      </c>
    </row>
    <row r="13" spans="1:24" x14ac:dyDescent="0.35">
      <c r="A13" s="55" t="s">
        <v>148</v>
      </c>
      <c r="B13" s="52" t="s">
        <v>190</v>
      </c>
      <c r="C13" s="52" t="s">
        <v>149</v>
      </c>
      <c r="D13" s="53">
        <v>45844</v>
      </c>
      <c r="E13" s="54">
        <v>32500</v>
      </c>
      <c r="F13" s="54">
        <v>850000</v>
      </c>
      <c r="G13" s="54"/>
      <c r="H13" s="54">
        <f t="shared" si="1"/>
        <v>32500</v>
      </c>
      <c r="I13" s="54">
        <f t="shared" si="2"/>
        <v>0</v>
      </c>
      <c r="J13" s="52" t="s">
        <v>132</v>
      </c>
      <c r="K13" s="52" t="s">
        <v>191</v>
      </c>
      <c r="L13" s="52" t="s">
        <v>140</v>
      </c>
      <c r="M13" s="53">
        <v>45812</v>
      </c>
      <c r="N13" s="54">
        <v>6320</v>
      </c>
      <c r="O13" s="54">
        <v>69000</v>
      </c>
      <c r="P13" s="54">
        <v>6320</v>
      </c>
      <c r="Q13" s="69">
        <f t="shared" si="0"/>
        <v>62680</v>
      </c>
      <c r="S13" s="52" t="s">
        <v>145</v>
      </c>
      <c r="T13" s="52"/>
      <c r="U13" s="52" t="s">
        <v>155</v>
      </c>
      <c r="V13" s="54">
        <v>25000</v>
      </c>
      <c r="W13" s="52" t="s">
        <v>278</v>
      </c>
      <c r="X13" s="54">
        <v>25000</v>
      </c>
    </row>
    <row r="14" spans="1:24" x14ac:dyDescent="0.35">
      <c r="A14" s="55" t="s">
        <v>142</v>
      </c>
      <c r="B14" s="52" t="s">
        <v>191</v>
      </c>
      <c r="C14" s="52" t="s">
        <v>150</v>
      </c>
      <c r="D14" s="53">
        <v>45847</v>
      </c>
      <c r="E14" s="54">
        <v>11482</v>
      </c>
      <c r="F14" s="54">
        <f>389000-166175</f>
        <v>222825</v>
      </c>
      <c r="G14" s="54">
        <f>389000-166175</f>
        <v>222825</v>
      </c>
      <c r="H14" s="54">
        <f t="shared" si="1"/>
        <v>0</v>
      </c>
      <c r="I14" s="54">
        <f t="shared" si="2"/>
        <v>11482</v>
      </c>
      <c r="J14" s="52" t="s">
        <v>132</v>
      </c>
      <c r="K14" s="52" t="s">
        <v>191</v>
      </c>
      <c r="L14" s="52" t="s">
        <v>269</v>
      </c>
      <c r="M14" s="53">
        <v>45819</v>
      </c>
      <c r="N14" s="54">
        <v>3500</v>
      </c>
      <c r="O14" s="54">
        <v>78000</v>
      </c>
      <c r="P14" s="54">
        <v>6000</v>
      </c>
      <c r="Q14" s="69">
        <f t="shared" si="0"/>
        <v>72000</v>
      </c>
      <c r="S14" s="52" t="s">
        <v>279</v>
      </c>
      <c r="T14" s="52"/>
      <c r="U14" s="52" t="s">
        <v>63</v>
      </c>
      <c r="V14" s="54">
        <v>20000</v>
      </c>
      <c r="W14" s="52" t="s">
        <v>279</v>
      </c>
      <c r="X14" s="54"/>
    </row>
    <row r="15" spans="1:24" x14ac:dyDescent="0.35">
      <c r="A15" s="55" t="s">
        <v>132</v>
      </c>
      <c r="B15" s="52" t="s">
        <v>191</v>
      </c>
      <c r="C15" s="52" t="s">
        <v>151</v>
      </c>
      <c r="D15" s="53">
        <v>45845</v>
      </c>
      <c r="E15" s="54">
        <f>F15*0.025</f>
        <v>6043.2750000000005</v>
      </c>
      <c r="F15" s="54">
        <v>241731</v>
      </c>
      <c r="G15" s="54">
        <v>241731</v>
      </c>
      <c r="H15" s="54">
        <f t="shared" si="1"/>
        <v>0</v>
      </c>
      <c r="I15" s="54">
        <f t="shared" si="2"/>
        <v>6043.2750000000005</v>
      </c>
      <c r="J15" s="52" t="s">
        <v>132</v>
      </c>
      <c r="K15" s="52" t="s">
        <v>191</v>
      </c>
      <c r="L15" s="52" t="s">
        <v>267</v>
      </c>
      <c r="M15" s="53">
        <v>45822</v>
      </c>
      <c r="N15" s="54">
        <v>1200</v>
      </c>
      <c r="O15" s="54">
        <v>271000</v>
      </c>
      <c r="P15" s="54">
        <v>176336</v>
      </c>
      <c r="Q15" s="69">
        <f t="shared" si="0"/>
        <v>94664</v>
      </c>
      <c r="S15" s="52" t="s">
        <v>280</v>
      </c>
      <c r="T15" s="52"/>
      <c r="U15" s="52" t="s">
        <v>63</v>
      </c>
      <c r="V15" s="54">
        <v>120000</v>
      </c>
      <c r="W15" s="52" t="s">
        <v>281</v>
      </c>
      <c r="X15" s="54"/>
    </row>
    <row r="16" spans="1:24" x14ac:dyDescent="0.35">
      <c r="A16" s="55" t="s">
        <v>132</v>
      </c>
      <c r="B16" s="52" t="s">
        <v>191</v>
      </c>
      <c r="C16" s="52" t="s">
        <v>268</v>
      </c>
      <c r="D16" s="53">
        <v>45845</v>
      </c>
      <c r="E16" s="54">
        <v>1100</v>
      </c>
      <c r="F16" s="54">
        <v>18000</v>
      </c>
      <c r="G16" s="54">
        <v>18000</v>
      </c>
      <c r="H16" s="54">
        <f t="shared" si="1"/>
        <v>0</v>
      </c>
      <c r="I16" s="54">
        <f t="shared" si="2"/>
        <v>1100</v>
      </c>
      <c r="J16" s="52" t="s">
        <v>132</v>
      </c>
      <c r="K16" s="52" t="s">
        <v>190</v>
      </c>
      <c r="L16" s="52" t="s">
        <v>147</v>
      </c>
      <c r="M16" s="53">
        <v>45814</v>
      </c>
      <c r="N16" s="54">
        <v>59663</v>
      </c>
      <c r="O16" s="54">
        <v>3100000</v>
      </c>
      <c r="P16" s="54">
        <v>200000</v>
      </c>
      <c r="Q16" s="54">
        <f t="shared" si="0"/>
        <v>2900000</v>
      </c>
      <c r="S16" s="52" t="s">
        <v>132</v>
      </c>
      <c r="T16" s="52"/>
      <c r="U16" s="52" t="s">
        <v>205</v>
      </c>
      <c r="V16" s="54">
        <v>40000</v>
      </c>
      <c r="W16" s="52" t="s">
        <v>282</v>
      </c>
      <c r="X16" s="54"/>
    </row>
    <row r="17" spans="1:25" x14ac:dyDescent="0.35">
      <c r="A17" s="55" t="s">
        <v>142</v>
      </c>
      <c r="B17" s="52" t="s">
        <v>191</v>
      </c>
      <c r="C17" s="52" t="s">
        <v>152</v>
      </c>
      <c r="D17" s="53">
        <v>45846</v>
      </c>
      <c r="E17" s="54">
        <v>12740</v>
      </c>
      <c r="F17" s="54">
        <v>90000</v>
      </c>
      <c r="G17" s="54">
        <v>67000</v>
      </c>
      <c r="H17" s="54">
        <f t="shared" si="1"/>
        <v>0</v>
      </c>
      <c r="I17" s="54">
        <f t="shared" si="2"/>
        <v>12740</v>
      </c>
      <c r="J17" s="68"/>
      <c r="K17" s="68"/>
      <c r="L17" s="68"/>
      <c r="M17" s="68"/>
      <c r="N17" s="68"/>
      <c r="O17" s="58">
        <f>SUM(O2:O16)</f>
        <v>4989471</v>
      </c>
      <c r="P17" s="58"/>
      <c r="Q17" s="58">
        <f>SUM(Q2:Q16)</f>
        <v>3318670</v>
      </c>
      <c r="R17" s="62"/>
      <c r="S17" s="52" t="s">
        <v>145</v>
      </c>
      <c r="T17" s="52"/>
      <c r="U17" s="52" t="s">
        <v>274</v>
      </c>
      <c r="V17" s="54">
        <v>9000</v>
      </c>
      <c r="W17" s="52" t="s">
        <v>201</v>
      </c>
      <c r="X17" s="54">
        <v>59000</v>
      </c>
    </row>
    <row r="18" spans="1:25" x14ac:dyDescent="0.35">
      <c r="A18" s="55" t="s">
        <v>142</v>
      </c>
      <c r="B18" s="52" t="s">
        <v>191</v>
      </c>
      <c r="C18" s="52" t="s">
        <v>137</v>
      </c>
      <c r="D18" s="53">
        <v>45847</v>
      </c>
      <c r="E18" s="54">
        <v>11532</v>
      </c>
      <c r="F18" s="54">
        <v>263000</v>
      </c>
      <c r="G18" s="54">
        <v>263000</v>
      </c>
      <c r="H18" s="54">
        <f t="shared" si="1"/>
        <v>0</v>
      </c>
      <c r="I18" s="54">
        <f t="shared" si="2"/>
        <v>11532</v>
      </c>
      <c r="S18" s="52" t="s">
        <v>145</v>
      </c>
      <c r="T18" s="52"/>
      <c r="U18" s="52" t="s">
        <v>274</v>
      </c>
      <c r="V18" s="54">
        <v>19543</v>
      </c>
      <c r="W18" s="52" t="s">
        <v>201</v>
      </c>
      <c r="X18" s="54">
        <v>19543</v>
      </c>
    </row>
    <row r="19" spans="1:25" x14ac:dyDescent="0.35">
      <c r="A19" s="55" t="s">
        <v>132</v>
      </c>
      <c r="B19" s="52" t="s">
        <v>191</v>
      </c>
      <c r="C19" s="52" t="s">
        <v>140</v>
      </c>
      <c r="D19" s="53">
        <v>45848</v>
      </c>
      <c r="E19" s="54">
        <f>F19*0.0218</f>
        <v>1958.2940000000001</v>
      </c>
      <c r="F19" s="54">
        <v>89830</v>
      </c>
      <c r="G19" s="54">
        <v>89830</v>
      </c>
      <c r="H19" s="54">
        <f t="shared" si="1"/>
        <v>0</v>
      </c>
      <c r="I19" s="54">
        <f t="shared" si="2"/>
        <v>1958.2940000000001</v>
      </c>
      <c r="S19" s="131" t="s">
        <v>3</v>
      </c>
      <c r="T19" s="131"/>
      <c r="U19" s="131"/>
      <c r="V19" s="54">
        <f>SUM(V12:V18)</f>
        <v>933543</v>
      </c>
      <c r="W19" s="52"/>
      <c r="X19" s="54"/>
    </row>
    <row r="20" spans="1:25" x14ac:dyDescent="0.35">
      <c r="A20" s="55" t="s">
        <v>142</v>
      </c>
      <c r="B20" s="52" t="s">
        <v>191</v>
      </c>
      <c r="C20" s="52" t="s">
        <v>153</v>
      </c>
      <c r="D20" s="53">
        <v>45848</v>
      </c>
      <c r="E20" s="54">
        <v>6500</v>
      </c>
      <c r="F20" s="54">
        <v>110000</v>
      </c>
      <c r="G20" s="54">
        <v>110000</v>
      </c>
      <c r="H20" s="54">
        <f t="shared" si="1"/>
        <v>0</v>
      </c>
      <c r="I20" s="54">
        <f t="shared" si="2"/>
        <v>6500</v>
      </c>
      <c r="S20" s="52" t="s">
        <v>272</v>
      </c>
      <c r="T20" s="52" t="s">
        <v>272</v>
      </c>
      <c r="U20" s="52" t="s">
        <v>273</v>
      </c>
      <c r="V20" s="54">
        <v>282635</v>
      </c>
      <c r="W20" s="52" t="s">
        <v>272</v>
      </c>
      <c r="X20" s="54">
        <v>200000</v>
      </c>
    </row>
    <row r="21" spans="1:25" x14ac:dyDescent="0.35">
      <c r="A21" s="55" t="s">
        <v>154</v>
      </c>
      <c r="B21" s="52" t="s">
        <v>190</v>
      </c>
      <c r="C21" s="52" t="s">
        <v>155</v>
      </c>
      <c r="D21" s="53">
        <v>45848</v>
      </c>
      <c r="E21" s="54">
        <v>35000</v>
      </c>
      <c r="F21" s="54">
        <v>1200000</v>
      </c>
      <c r="G21" s="67"/>
      <c r="H21" s="54">
        <f t="shared" si="1"/>
        <v>35000</v>
      </c>
      <c r="I21" s="54">
        <f t="shared" si="2"/>
        <v>0</v>
      </c>
      <c r="S21" s="131" t="s">
        <v>35</v>
      </c>
      <c r="T21" s="131"/>
      <c r="U21" s="131"/>
      <c r="V21" s="54">
        <f>V19+V20</f>
        <v>1216178</v>
      </c>
      <c r="W21" s="52"/>
      <c r="X21" s="54">
        <f>SUM(X12:X20)</f>
        <v>1003543</v>
      </c>
      <c r="Y21" s="90">
        <f>V21-X21</f>
        <v>212635</v>
      </c>
    </row>
    <row r="22" spans="1:25" x14ac:dyDescent="0.35">
      <c r="A22" s="55" t="s">
        <v>156</v>
      </c>
      <c r="B22" s="52" t="s">
        <v>190</v>
      </c>
      <c r="C22" s="52" t="s">
        <v>149</v>
      </c>
      <c r="D22" s="53">
        <v>45848</v>
      </c>
      <c r="E22" s="54">
        <v>35000</v>
      </c>
      <c r="F22" s="54">
        <v>3500000</v>
      </c>
      <c r="G22" s="67"/>
      <c r="H22" s="54">
        <f t="shared" si="1"/>
        <v>35000</v>
      </c>
      <c r="I22" s="54">
        <f t="shared" si="2"/>
        <v>0</v>
      </c>
    </row>
    <row r="23" spans="1:25" x14ac:dyDescent="0.35">
      <c r="A23" s="55" t="s">
        <v>132</v>
      </c>
      <c r="B23" s="52" t="s">
        <v>191</v>
      </c>
      <c r="C23" s="52" t="s">
        <v>140</v>
      </c>
      <c r="D23" s="53">
        <v>45848</v>
      </c>
      <c r="E23" s="54">
        <f>F23*0.025</f>
        <v>795</v>
      </c>
      <c r="F23" s="54">
        <v>31800</v>
      </c>
      <c r="G23" s="67">
        <v>75000</v>
      </c>
      <c r="H23" s="54">
        <f t="shared" si="1"/>
        <v>0</v>
      </c>
      <c r="I23" s="54">
        <f t="shared" si="2"/>
        <v>795</v>
      </c>
    </row>
    <row r="24" spans="1:25" x14ac:dyDescent="0.35">
      <c r="A24" s="55" t="s">
        <v>132</v>
      </c>
      <c r="B24" s="52" t="s">
        <v>191</v>
      </c>
      <c r="C24" s="52" t="s">
        <v>311</v>
      </c>
      <c r="D24" s="53">
        <v>45848</v>
      </c>
      <c r="E24" s="54">
        <v>3891</v>
      </c>
      <c r="F24" s="54">
        <v>31800</v>
      </c>
      <c r="G24" s="67">
        <v>78000</v>
      </c>
      <c r="H24" s="54">
        <f t="shared" si="1"/>
        <v>0</v>
      </c>
      <c r="I24" s="54">
        <f t="shared" si="2"/>
        <v>3891</v>
      </c>
    </row>
    <row r="25" spans="1:25" x14ac:dyDescent="0.35">
      <c r="A25" s="55" t="s">
        <v>132</v>
      </c>
      <c r="B25" s="52" t="s">
        <v>191</v>
      </c>
      <c r="C25" s="52" t="s">
        <v>267</v>
      </c>
      <c r="D25" s="53">
        <v>45848</v>
      </c>
      <c r="E25" s="54">
        <f t="shared" ref="E25" si="3">F25*0.025</f>
        <v>6775</v>
      </c>
      <c r="F25" s="54">
        <v>271000</v>
      </c>
      <c r="G25" s="54">
        <v>271000</v>
      </c>
      <c r="H25" s="54">
        <f t="shared" si="1"/>
        <v>0</v>
      </c>
      <c r="I25" s="54">
        <f t="shared" si="2"/>
        <v>6775</v>
      </c>
    </row>
    <row r="26" spans="1:25" x14ac:dyDescent="0.35">
      <c r="A26" s="99" t="s">
        <v>314</v>
      </c>
      <c r="B26" s="105" t="s">
        <v>190</v>
      </c>
      <c r="C26" s="100" t="s">
        <v>315</v>
      </c>
      <c r="D26" s="53">
        <v>45848</v>
      </c>
      <c r="E26" s="67"/>
      <c r="F26" s="97">
        <v>2000000</v>
      </c>
      <c r="G26" s="67"/>
      <c r="H26" s="67"/>
      <c r="I26" s="67"/>
    </row>
    <row r="27" spans="1:25" x14ac:dyDescent="0.35">
      <c r="A27" s="99" t="s">
        <v>145</v>
      </c>
      <c r="B27" s="24" t="s">
        <v>312</v>
      </c>
      <c r="C27" s="100" t="s">
        <v>313</v>
      </c>
      <c r="D27" s="53">
        <v>45848</v>
      </c>
      <c r="E27" s="101">
        <f>F27*0.1</f>
        <v>70000</v>
      </c>
      <c r="F27" s="86">
        <v>700000</v>
      </c>
      <c r="G27" s="103"/>
      <c r="H27" s="103"/>
      <c r="I27" s="103"/>
    </row>
    <row r="28" spans="1:25" ht="15" thickBot="1" x14ac:dyDescent="0.4">
      <c r="A28" s="125" t="s">
        <v>3</v>
      </c>
      <c r="B28" s="126"/>
      <c r="C28" s="126"/>
      <c r="D28" s="80"/>
      <c r="E28" s="81">
        <f>SUM(E2:E25)</f>
        <v>342203.34399999998</v>
      </c>
      <c r="F28" s="81">
        <f>SUM(F2:F27)</f>
        <v>14493212</v>
      </c>
      <c r="G28" s="104">
        <f>SUM(G2:G27)</f>
        <v>2156950</v>
      </c>
      <c r="H28" s="104">
        <f>SUM(H2:H27)</f>
        <v>214231</v>
      </c>
      <c r="I28" s="104"/>
    </row>
    <row r="29" spans="1:25" x14ac:dyDescent="0.35">
      <c r="A29" s="52" t="s">
        <v>286</v>
      </c>
      <c r="B29" s="54">
        <v>1600000</v>
      </c>
      <c r="C29" s="52" t="s">
        <v>277</v>
      </c>
      <c r="D29" s="54">
        <v>630000</v>
      </c>
    </row>
    <row r="30" spans="1:25" x14ac:dyDescent="0.35">
      <c r="A30" s="52" t="s">
        <v>288</v>
      </c>
      <c r="B30" s="54"/>
      <c r="C30" s="52" t="s">
        <v>287</v>
      </c>
      <c r="D30" s="54">
        <v>50000</v>
      </c>
    </row>
    <row r="31" spans="1:25" x14ac:dyDescent="0.35">
      <c r="A31" s="52" t="s">
        <v>289</v>
      </c>
      <c r="B31" s="54"/>
      <c r="C31" s="52" t="s">
        <v>282</v>
      </c>
      <c r="D31" s="54">
        <v>40000</v>
      </c>
    </row>
    <row r="32" spans="1:25" x14ac:dyDescent="0.35">
      <c r="A32" s="68"/>
      <c r="B32" s="54"/>
      <c r="C32" s="52"/>
      <c r="D32" s="54"/>
    </row>
    <row r="33" spans="1:4" x14ac:dyDescent="0.35">
      <c r="A33" s="68"/>
      <c r="B33" s="54"/>
    </row>
    <row r="34" spans="1:4" x14ac:dyDescent="0.35">
      <c r="A34" s="68"/>
      <c r="B34" s="54"/>
      <c r="C34" s="52"/>
      <c r="D34" s="54"/>
    </row>
    <row r="35" spans="1:4" x14ac:dyDescent="0.35">
      <c r="A35" s="68"/>
      <c r="B35" s="54"/>
      <c r="C35" s="52" t="s">
        <v>290</v>
      </c>
      <c r="D35" s="54">
        <v>590500</v>
      </c>
    </row>
    <row r="36" spans="1:4" x14ac:dyDescent="0.35">
      <c r="A36" s="68"/>
      <c r="B36" s="54"/>
      <c r="C36" s="52" t="s">
        <v>291</v>
      </c>
      <c r="D36" s="54">
        <v>46865</v>
      </c>
    </row>
    <row r="37" spans="1:4" x14ac:dyDescent="0.35">
      <c r="A37" s="68"/>
      <c r="B37" s="54"/>
      <c r="C37" s="52"/>
      <c r="D37" s="54"/>
    </row>
    <row r="38" spans="1:4" x14ac:dyDescent="0.35">
      <c r="A38" s="68" t="s">
        <v>3</v>
      </c>
      <c r="B38" s="58">
        <f>SUM(B29:B35)</f>
        <v>1600000</v>
      </c>
      <c r="C38" s="68"/>
      <c r="D38" s="58">
        <f>SUM(D29:D36)</f>
        <v>1357365</v>
      </c>
    </row>
    <row r="39" spans="1:4" x14ac:dyDescent="0.35">
      <c r="A39" t="s">
        <v>201</v>
      </c>
      <c r="B39" s="62">
        <f>B38-D38</f>
        <v>242635</v>
      </c>
    </row>
  </sheetData>
  <sortState xmlns:xlrd2="http://schemas.microsoft.com/office/spreadsheetml/2017/richdata2" ref="J2:Q16">
    <sortCondition ref="Q2:Q16"/>
    <sortCondition ref="K2:K16"/>
  </sortState>
  <mergeCells count="7">
    <mergeCell ref="A28:C28"/>
    <mergeCell ref="S1:W1"/>
    <mergeCell ref="S10:W10"/>
    <mergeCell ref="S19:U19"/>
    <mergeCell ref="S21:U21"/>
    <mergeCell ref="S6:U6"/>
    <mergeCell ref="S8:U8"/>
  </mergeCells>
  <conditionalFormatting sqref="D1:D28">
    <cfRule type="cellIs" dxfId="9" priority="1" operator="equal">
      <formula>$N$11</formula>
    </cfRule>
    <cfRule type="cellIs" dxfId="8" priority="2" operator="equal">
      <formula>TODAY()</formula>
    </cfRule>
  </conditionalFormatting>
  <conditionalFormatting sqref="M1:M16">
    <cfRule type="cellIs" dxfId="7" priority="13" operator="equal">
      <formula>$M$15</formula>
    </cfRule>
    <cfRule type="cellIs" dxfId="6" priority="14" operator="equal">
      <formula>TODAY()</formula>
    </cfRule>
  </conditionalFormatting>
  <conditionalFormatting sqref="V2">
    <cfRule type="cellIs" dxfId="5" priority="7" operator="equal">
      <formula>$M$15</formula>
    </cfRule>
    <cfRule type="cellIs" dxfId="4" priority="8" operator="equal">
      <formula>TODAY()</formula>
    </cfRule>
  </conditionalFormatting>
  <conditionalFormatting sqref="V11">
    <cfRule type="cellIs" dxfId="3" priority="5" operator="equal">
      <formula>$M$15</formula>
    </cfRule>
    <cfRule type="cellIs" dxfId="2" priority="6" operator="equal">
      <formula>TODAY()</formula>
    </cfRule>
  </conditionalFormatting>
  <conditionalFormatting sqref="X11">
    <cfRule type="cellIs" dxfId="1" priority="3" operator="equal">
      <formula>$M$15</formula>
    </cfRule>
    <cfRule type="cellIs" dxfId="0" priority="4" operator="equal">
      <formula>TODAY()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B9F5-57AA-4B54-AE15-9A1BFA37A60C}">
  <dimension ref="A1:V48"/>
  <sheetViews>
    <sheetView zoomScale="90" zoomScaleNormal="90" workbookViewId="0">
      <pane ySplit="1" topLeftCell="A24" activePane="bottomLeft" state="frozen"/>
      <selection pane="bottomLeft" activeCell="D27" sqref="D27"/>
    </sheetView>
  </sheetViews>
  <sheetFormatPr defaultColWidth="26" defaultRowHeight="14.5" x14ac:dyDescent="0.35"/>
  <cols>
    <col min="1" max="1" width="27.36328125" bestFit="1" customWidth="1"/>
    <col min="2" max="2" width="10" style="19" bestFit="1" customWidth="1"/>
    <col min="3" max="3" width="10" style="50" bestFit="1" customWidth="1"/>
    <col min="4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Table2345345687911121514161718192021222324252627283456789101134567891011126[[#This Row],[Profit]]-Table2345345687911121514161718192021222324252627283456789101134567891011126[[#This Row],[Mulbhag]]</f>
        <v>0</v>
      </c>
      <c r="C2" s="43">
        <f>Table2345345687911121514161718192021222324252627283456789101134567891011126[[#This Row],[Profit]]/3</f>
        <v>0</v>
      </c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Table2345345687911121514161718192021222324252627283456789101134567891011126[[#This Row],[Account Transfer]]-Table2345345687911121514161718192021222324252627283456789101134567891011126[[#This Row],[Expense Online]]</f>
        <v>0</v>
      </c>
      <c r="L2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0</v>
      </c>
      <c r="M2" s="7">
        <f>Table2345345687911121514161718192021222324252627283456789101134567891011126[[#This Row],[Cash]]-Table2345345687911121514161718192021222324252627283456789101134567891011126[[#This Row],[Expense]]</f>
        <v>0</v>
      </c>
      <c r="O2" s="8" t="s">
        <v>8</v>
      </c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45597</v>
      </c>
      <c r="B3" s="7">
        <f>Table2345345687911121514161718192021222324252627283456789101134567891011126[[#This Row],[Profit]]-Table2345345687911121514161718192021222324252627283456789101134567891011126[[#This Row],[Mulbhag]]</f>
        <v>3611</v>
      </c>
      <c r="C3" s="43">
        <f>Table2345345687911121514161718192021222324252627283456789101134567891011126[[#This Row],[Profit]]/3</f>
        <v>1805.5</v>
      </c>
      <c r="D3" s="7">
        <f t="shared" si="0"/>
        <v>5416.5</v>
      </c>
      <c r="E3" s="7">
        <f t="shared" si="1"/>
        <v>12638.5</v>
      </c>
      <c r="F3" s="7">
        <f t="shared" si="2"/>
        <v>18055</v>
      </c>
      <c r="G3" s="7">
        <v>7000</v>
      </c>
      <c r="H3" s="7">
        <v>11055</v>
      </c>
      <c r="I3" s="7">
        <v>500</v>
      </c>
      <c r="J3" s="7"/>
      <c r="K3" s="7">
        <f>Table2345345687911121514161718192021222324252627283456789101134567891011126[[#This Row],[Account Transfer]]-Table2345345687911121514161718192021222324252627283456789101134567891011126[[#This Row],[Expense Online]]</f>
        <v>11055</v>
      </c>
      <c r="L3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1083.5</v>
      </c>
      <c r="M3" s="7">
        <f>Table2345345687911121514161718192021222324252627283456789101134567891011126[[#This Row],[Cash]]-Table2345345687911121514161718192021222324252627283456789101134567891011126[[#This Row],[Expense]]</f>
        <v>6500</v>
      </c>
      <c r="O3" s="10">
        <f t="shared" ref="O3:O9" si="3">A3</f>
        <v>45597</v>
      </c>
      <c r="P3" s="11">
        <f>Q3/3</f>
        <v>1805.5</v>
      </c>
      <c r="Q3" s="11">
        <f>S3*0.3</f>
        <v>5416.5</v>
      </c>
      <c r="R3" s="11">
        <f t="shared" ref="R3:R9" si="4">S3-Q3</f>
        <v>12638.5</v>
      </c>
      <c r="S3" s="11">
        <f>T3+U3</f>
        <v>18055</v>
      </c>
      <c r="T3" s="11">
        <f t="shared" ref="T3:T9" si="5">VLOOKUP(O3,$A$1:$J$34,7,0)</f>
        <v>7000</v>
      </c>
      <c r="U3" s="11">
        <f t="shared" ref="U3:U9" si="6">VLOOKUP(O3,$A$1:$J$34,8,0)</f>
        <v>11055</v>
      </c>
      <c r="V3" s="11">
        <f t="shared" ref="V3:V9" si="7">VLOOKUP(O3,$A$1:$J$34,9,0)</f>
        <v>500</v>
      </c>
    </row>
    <row r="4" spans="1:22" x14ac:dyDescent="0.35">
      <c r="A4" s="6">
        <v>45598</v>
      </c>
      <c r="B4" s="7">
        <f>Table2345345687911121514161718192021222324252627283456789101134567891011126[[#This Row],[Profit]]-Table2345345687911121514161718192021222324252627283456789101134567891011126[[#This Row],[Mulbhag]]</f>
        <v>1503.4</v>
      </c>
      <c r="C4" s="43">
        <f>Table2345345687911121514161718192021222324252627283456789101134567891011126[[#This Row],[Profit]]/3</f>
        <v>751.69999999999993</v>
      </c>
      <c r="D4" s="7">
        <f t="shared" si="0"/>
        <v>2255.1</v>
      </c>
      <c r="E4" s="7">
        <f t="shared" si="1"/>
        <v>5261.9</v>
      </c>
      <c r="F4" s="7">
        <f t="shared" si="2"/>
        <v>7517</v>
      </c>
      <c r="G4" s="7">
        <v>236</v>
      </c>
      <c r="H4" s="7">
        <v>7281</v>
      </c>
      <c r="I4" s="7">
        <v>20</v>
      </c>
      <c r="J4" s="7"/>
      <c r="K4" s="7">
        <f>Table2345345687911121514161718192021222324252627283456789101134567891011126[[#This Row],[Account Transfer]]-Table2345345687911121514161718192021222324252627283456789101134567891011126[[#This Row],[Expense Online]]</f>
        <v>7281</v>
      </c>
      <c r="L4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Row],[Expense]]+L3</f>
        <v>-955.59999999999991</v>
      </c>
      <c r="M4" s="7">
        <f>Table2345345687911121514161718192021222324252627283456789101134567891011126[[#This Row],[Cash]]-Table2345345687911121514161718192021222324252627283456789101134567891011126[[#This Row],[Expense]]</f>
        <v>216</v>
      </c>
      <c r="O4" s="8">
        <f t="shared" si="3"/>
        <v>45598</v>
      </c>
      <c r="P4" s="9">
        <f>Q4/3</f>
        <v>751.69999999999993</v>
      </c>
      <c r="Q4" s="9">
        <f>S4*0.3</f>
        <v>2255.1</v>
      </c>
      <c r="R4" s="9">
        <f t="shared" si="4"/>
        <v>5261.9</v>
      </c>
      <c r="S4" s="9">
        <f t="shared" ref="S4:S9" si="8">T4+U4</f>
        <v>7517</v>
      </c>
      <c r="T4" s="9">
        <f t="shared" si="5"/>
        <v>236</v>
      </c>
      <c r="U4" s="9">
        <f t="shared" si="6"/>
        <v>7281</v>
      </c>
      <c r="V4" s="9">
        <f t="shared" si="7"/>
        <v>20</v>
      </c>
    </row>
    <row r="5" spans="1:22" x14ac:dyDescent="0.35">
      <c r="A5" s="6">
        <v>45599</v>
      </c>
      <c r="B5" s="7">
        <f>Table2345345687911121514161718192021222324252627283456789101134567891011126[[#This Row],[Profit]]-Table2345345687911121514161718192021222324252627283456789101134567891011126[[#This Row],[Mulbhag]]</f>
        <v>8690</v>
      </c>
      <c r="C5" s="43">
        <f>Table2345345687911121514161718192021222324252627283456789101134567891011126[[#This Row],[Profit]]/3</f>
        <v>4345</v>
      </c>
      <c r="D5" s="7">
        <f t="shared" si="0"/>
        <v>13035</v>
      </c>
      <c r="E5" s="7">
        <f t="shared" si="1"/>
        <v>30415</v>
      </c>
      <c r="F5" s="7">
        <f t="shared" si="2"/>
        <v>43450</v>
      </c>
      <c r="G5" s="7">
        <v>30700</v>
      </c>
      <c r="H5" s="7">
        <v>12750</v>
      </c>
      <c r="I5" s="7">
        <v>260</v>
      </c>
      <c r="J5" s="7"/>
      <c r="K5" s="7">
        <f>Table2345345687911121514161718192021222324252627283456789101134567891011126[[#This Row],[Account Transfer]]-Table2345345687911121514161718192021222324252627283456789101134567891011126[[#This Row],[Expense Online]]</f>
        <v>12750</v>
      </c>
      <c r="L5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17405</v>
      </c>
      <c r="M5" s="7">
        <f>Table2345345687911121514161718192021222324252627283456789101134567891011126[[#This Row],[Cash]]-Table2345345687911121514161718192021222324252627283456789101134567891011126[[#This Row],[Expense]]</f>
        <v>30440</v>
      </c>
      <c r="O5" s="10">
        <f t="shared" si="3"/>
        <v>45599</v>
      </c>
      <c r="P5" s="11">
        <f t="shared" ref="P5:P9" si="9">Q5/3</f>
        <v>4345</v>
      </c>
      <c r="Q5" s="11">
        <f t="shared" ref="Q5:Q9" si="10">S5*0.3</f>
        <v>13035</v>
      </c>
      <c r="R5" s="11">
        <f t="shared" si="4"/>
        <v>30415</v>
      </c>
      <c r="S5" s="11">
        <f t="shared" si="8"/>
        <v>43450</v>
      </c>
      <c r="T5" s="11">
        <f t="shared" si="5"/>
        <v>30700</v>
      </c>
      <c r="U5" s="11">
        <f t="shared" si="6"/>
        <v>12750</v>
      </c>
      <c r="V5" s="11">
        <f t="shared" si="7"/>
        <v>260</v>
      </c>
    </row>
    <row r="6" spans="1:22" x14ac:dyDescent="0.35">
      <c r="A6" s="6">
        <v>45600</v>
      </c>
      <c r="B6" s="7">
        <f>Table2345345687911121514161718192021222324252627283456789101134567891011126[[#This Row],[Profit]]-Table2345345687911121514161718192021222324252627283456789101134567891011126[[#This Row],[Mulbhag]]</f>
        <v>1310</v>
      </c>
      <c r="C6" s="43">
        <f>Table2345345687911121514161718192021222324252627283456789101134567891011126[[#This Row],[Profit]]/3</f>
        <v>655</v>
      </c>
      <c r="D6" s="7">
        <f t="shared" si="0"/>
        <v>1965</v>
      </c>
      <c r="E6" s="7">
        <f t="shared" si="1"/>
        <v>4585</v>
      </c>
      <c r="F6" s="7">
        <f t="shared" si="2"/>
        <v>6550</v>
      </c>
      <c r="G6" s="7">
        <v>4200</v>
      </c>
      <c r="H6" s="7">
        <v>2350</v>
      </c>
      <c r="I6" s="7">
        <v>120</v>
      </c>
      <c r="J6" s="7"/>
      <c r="K6" s="7">
        <f>Table2345345687911121514161718192021222324252627283456789101134567891011126[[#This Row],[Account Transfer]]-Table2345345687911121514161718192021222324252627283456789101134567891011126[[#This Row],[Expense Online]]</f>
        <v>2350</v>
      </c>
      <c r="L6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2115</v>
      </c>
      <c r="M6" s="7">
        <f>Table2345345687911121514161718192021222324252627283456789101134567891011126[[#This Row],[Cash]]-Table2345345687911121514161718192021222324252627283456789101134567891011126[[#This Row],[Expense]]</f>
        <v>4080</v>
      </c>
      <c r="O6" s="8">
        <f t="shared" si="3"/>
        <v>45600</v>
      </c>
      <c r="P6" s="9">
        <f t="shared" si="9"/>
        <v>655</v>
      </c>
      <c r="Q6" s="9">
        <f t="shared" si="10"/>
        <v>1965</v>
      </c>
      <c r="R6" s="9">
        <f t="shared" si="4"/>
        <v>4585</v>
      </c>
      <c r="S6" s="9">
        <f t="shared" si="8"/>
        <v>6550</v>
      </c>
      <c r="T6" s="9">
        <f t="shared" si="5"/>
        <v>4200</v>
      </c>
      <c r="U6" s="9">
        <f t="shared" si="6"/>
        <v>2350</v>
      </c>
      <c r="V6" s="9">
        <f t="shared" si="7"/>
        <v>120</v>
      </c>
    </row>
    <row r="7" spans="1:22" x14ac:dyDescent="0.35">
      <c r="A7" s="6">
        <v>45601</v>
      </c>
      <c r="B7" s="7">
        <f>Table2345345687911121514161718192021222324252627283456789101134567891011126[[#This Row],[Profit]]-Table2345345687911121514161718192021222324252627283456789101134567891011126[[#This Row],[Mulbhag]]</f>
        <v>4920</v>
      </c>
      <c r="C7" s="43">
        <f>Table2345345687911121514161718192021222324252627283456789101134567891011126[[#This Row],[Profit]]/3</f>
        <v>2460</v>
      </c>
      <c r="D7" s="7">
        <f t="shared" si="0"/>
        <v>7380</v>
      </c>
      <c r="E7" s="7">
        <f t="shared" si="1"/>
        <v>17220</v>
      </c>
      <c r="F7" s="7">
        <f t="shared" si="2"/>
        <v>24600</v>
      </c>
      <c r="G7" s="7">
        <v>10850</v>
      </c>
      <c r="H7" s="7">
        <v>13750</v>
      </c>
      <c r="I7" s="7">
        <v>550</v>
      </c>
      <c r="J7" s="7"/>
      <c r="K7" s="7">
        <f>Table2345345687911121514161718192021222324252627283456789101134567891011126[[#This Row],[Account Transfer]]-Table2345345687911121514161718192021222324252627283456789101134567891011126[[#This Row],[Expense Online]]</f>
        <v>13750</v>
      </c>
      <c r="L7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2920</v>
      </c>
      <c r="M7" s="7">
        <f>Table2345345687911121514161718192021222324252627283456789101134567891011126[[#This Row],[Cash]]-Table2345345687911121514161718192021222324252627283456789101134567891011126[[#This Row],[Expense]]</f>
        <v>10300</v>
      </c>
      <c r="O7" s="10">
        <f t="shared" si="3"/>
        <v>45601</v>
      </c>
      <c r="P7" s="11">
        <f t="shared" si="9"/>
        <v>2460</v>
      </c>
      <c r="Q7" s="11">
        <f t="shared" si="10"/>
        <v>7380</v>
      </c>
      <c r="R7" s="11">
        <f t="shared" si="4"/>
        <v>17220</v>
      </c>
      <c r="S7" s="11">
        <f t="shared" si="8"/>
        <v>24600</v>
      </c>
      <c r="T7" s="11">
        <f t="shared" si="5"/>
        <v>10850</v>
      </c>
      <c r="U7" s="11">
        <f t="shared" si="6"/>
        <v>13750</v>
      </c>
      <c r="V7" s="11">
        <f t="shared" si="7"/>
        <v>550</v>
      </c>
    </row>
    <row r="8" spans="1:22" x14ac:dyDescent="0.35">
      <c r="A8" s="6">
        <v>45602</v>
      </c>
      <c r="B8" s="7">
        <f>Table2345345687911121514161718192021222324252627283456789101134567891011126[[#This Row],[Profit]]-Table2345345687911121514161718192021222324252627283456789101134567891011126[[#This Row],[Mulbhag]]</f>
        <v>2060</v>
      </c>
      <c r="C8" s="43">
        <f>Table2345345687911121514161718192021222324252627283456789101134567891011126[[#This Row],[Profit]]/3</f>
        <v>1030</v>
      </c>
      <c r="D8" s="7">
        <f t="shared" si="0"/>
        <v>3090</v>
      </c>
      <c r="E8" s="7">
        <f t="shared" si="1"/>
        <v>7210</v>
      </c>
      <c r="F8" s="7">
        <f t="shared" si="2"/>
        <v>10300</v>
      </c>
      <c r="G8" s="7">
        <v>6820</v>
      </c>
      <c r="H8" s="7">
        <v>3480</v>
      </c>
      <c r="I8" s="7">
        <v>1640</v>
      </c>
      <c r="J8" s="7"/>
      <c r="K8" s="7">
        <f>Table2345345687911121514161718192021222324252627283456789101134567891011126[[#This Row],[Account Transfer]]-Table2345345687911121514161718192021222324252627283456789101134567891011126[[#This Row],[Expense Online]]</f>
        <v>3480</v>
      </c>
      <c r="L8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2090</v>
      </c>
      <c r="M8" s="7">
        <f>Table2345345687911121514161718192021222324252627283456789101134567891011126[[#This Row],[Cash]]-Table2345345687911121514161718192021222324252627283456789101134567891011126[[#This Row],[Expense]]</f>
        <v>5180</v>
      </c>
      <c r="O8" s="8">
        <f t="shared" si="3"/>
        <v>45602</v>
      </c>
      <c r="P8" s="9">
        <f t="shared" si="9"/>
        <v>1030</v>
      </c>
      <c r="Q8" s="9">
        <f t="shared" si="10"/>
        <v>3090</v>
      </c>
      <c r="R8" s="9">
        <f t="shared" si="4"/>
        <v>7210</v>
      </c>
      <c r="S8" s="9">
        <f t="shared" si="8"/>
        <v>10300</v>
      </c>
      <c r="T8" s="9">
        <f t="shared" si="5"/>
        <v>6820</v>
      </c>
      <c r="U8" s="9">
        <f t="shared" si="6"/>
        <v>3480</v>
      </c>
      <c r="V8" s="9">
        <f t="shared" si="7"/>
        <v>1640</v>
      </c>
    </row>
    <row r="9" spans="1:22" x14ac:dyDescent="0.35">
      <c r="A9" s="6">
        <v>45603</v>
      </c>
      <c r="B9" s="7">
        <f>Table2345345687911121514161718192021222324252627283456789101134567891011126[[#This Row],[Profit]]-Table2345345687911121514161718192021222324252627283456789101134567891011126[[#This Row],[Mulbhag]]</f>
        <v>3828.5999999999995</v>
      </c>
      <c r="C9" s="43">
        <f>Table2345345687911121514161718192021222324252627283456789101134567891011126[[#This Row],[Profit]]/3</f>
        <v>1914.3</v>
      </c>
      <c r="D9" s="7">
        <f t="shared" si="0"/>
        <v>5742.9</v>
      </c>
      <c r="E9" s="7">
        <f t="shared" si="1"/>
        <v>13400.1</v>
      </c>
      <c r="F9" s="7">
        <f t="shared" si="2"/>
        <v>19143</v>
      </c>
      <c r="G9" s="7">
        <v>15300</v>
      </c>
      <c r="H9" s="7">
        <v>3843</v>
      </c>
      <c r="I9" s="7">
        <v>1720</v>
      </c>
      <c r="J9" s="7"/>
      <c r="K9" s="7">
        <f>Table2345345687911121514161718192021222324252627283456789101134567891011126[[#This Row],[Account Transfer]]-Table2345345687911121514161718192021222324252627283456789101134567891011126[[#This Row],[Expense Online]]</f>
        <v>3843</v>
      </c>
      <c r="L9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7837.1000000000022</v>
      </c>
      <c r="M9" s="7">
        <f>Table2345345687911121514161718192021222324252627283456789101134567891011126[[#This Row],[Cash]]-Table2345345687911121514161718192021222324252627283456789101134567891011126[[#This Row],[Expense]]</f>
        <v>13580</v>
      </c>
      <c r="O9" s="10">
        <f t="shared" si="3"/>
        <v>45603</v>
      </c>
      <c r="P9" s="11">
        <f t="shared" si="9"/>
        <v>1914.3</v>
      </c>
      <c r="Q9" s="11">
        <f t="shared" si="10"/>
        <v>5742.9</v>
      </c>
      <c r="R9" s="11">
        <f t="shared" si="4"/>
        <v>13400.1</v>
      </c>
      <c r="S9" s="11">
        <f t="shared" si="8"/>
        <v>19143</v>
      </c>
      <c r="T9" s="11">
        <f t="shared" si="5"/>
        <v>15300</v>
      </c>
      <c r="U9" s="11">
        <f t="shared" si="6"/>
        <v>3843</v>
      </c>
      <c r="V9" s="11">
        <f t="shared" si="7"/>
        <v>1720</v>
      </c>
    </row>
    <row r="10" spans="1:22" x14ac:dyDescent="0.35">
      <c r="A10" s="6">
        <v>45604</v>
      </c>
      <c r="B10" s="7">
        <f>Table2345345687911121514161718192021222324252627283456789101134567891011126[[#This Row],[Profit]]-Table2345345687911121514161718192021222324252627283456789101134567891011126[[#This Row],[Mulbhag]]</f>
        <v>1838</v>
      </c>
      <c r="C10" s="43">
        <f>Table2345345687911121514161718192021222324252627283456789101134567891011126[[#This Row],[Profit]]/3</f>
        <v>919</v>
      </c>
      <c r="D10" s="7">
        <f t="shared" si="0"/>
        <v>2757</v>
      </c>
      <c r="E10" s="7">
        <f t="shared" si="1"/>
        <v>6433</v>
      </c>
      <c r="F10" s="7">
        <f t="shared" si="2"/>
        <v>9190</v>
      </c>
      <c r="G10" s="7">
        <v>4000</v>
      </c>
      <c r="H10" s="7">
        <v>5190</v>
      </c>
      <c r="I10" s="7">
        <v>120</v>
      </c>
      <c r="J10" s="7"/>
      <c r="K10" s="7">
        <f>Table2345345687911121514161718192021222324252627283456789101134567891011126[[#This Row],[Account Transfer]]-Table2345345687911121514161718192021222324252627283456789101134567891011126[[#This Row],[Expense Online]]</f>
        <v>5190</v>
      </c>
      <c r="L10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1123</v>
      </c>
      <c r="M10" s="7">
        <f>Table2345345687911121514161718192021222324252627283456789101134567891011126[[#This Row],[Cash]]-Table2345345687911121514161718192021222324252627283456789101134567891011126[[#This Row],[Expense]]</f>
        <v>3880</v>
      </c>
      <c r="O10" s="12" t="s">
        <v>3</v>
      </c>
      <c r="P10" s="12">
        <f>SUM(P3:P9)</f>
        <v>12961.5</v>
      </c>
      <c r="Q10" s="12">
        <f>SUM(Q3:Q9)</f>
        <v>38884.5</v>
      </c>
      <c r="R10" s="12">
        <f>SUM(R2:R9)</f>
        <v>90730.5</v>
      </c>
      <c r="S10" s="12">
        <f>SUM(S3:S9)</f>
        <v>129615</v>
      </c>
      <c r="T10" s="12">
        <f>SUM(T2:T9)</f>
        <v>75106</v>
      </c>
      <c r="U10" s="12">
        <f>SUM(U2:U9)</f>
        <v>54509</v>
      </c>
      <c r="V10" s="12">
        <f>SUM(V2:V9)</f>
        <v>4810</v>
      </c>
    </row>
    <row r="11" spans="1:22" x14ac:dyDescent="0.35">
      <c r="A11" s="6">
        <v>45605</v>
      </c>
      <c r="B11" s="7">
        <f>Table2345345687911121514161718192021222324252627283456789101134567891011126[[#This Row],[Profit]]-Table2345345687911121514161718192021222324252627283456789101134567891011126[[#This Row],[Mulbhag]]</f>
        <v>10642</v>
      </c>
      <c r="C11" s="43">
        <f>Table2345345687911121514161718192021222324252627283456789101134567891011126[[#This Row],[Profit]]/3</f>
        <v>5321</v>
      </c>
      <c r="D11" s="7">
        <f t="shared" si="0"/>
        <v>15963</v>
      </c>
      <c r="E11" s="7">
        <f t="shared" si="1"/>
        <v>37247</v>
      </c>
      <c r="F11" s="7">
        <f t="shared" si="2"/>
        <v>53210</v>
      </c>
      <c r="G11" s="7">
        <v>34175</v>
      </c>
      <c r="H11" s="7">
        <f>5110+13925</f>
        <v>19035</v>
      </c>
      <c r="I11" s="7">
        <v>1030</v>
      </c>
      <c r="J11" s="7"/>
      <c r="K11" s="7">
        <f>Table2345345687911121514161718192021222324252627283456789101134567891011126[[#This Row],[Account Transfer]]-Table2345345687911121514161718192021222324252627283456789101134567891011126[[#This Row],[Expense Online]]</f>
        <v>19035</v>
      </c>
      <c r="L11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17182</v>
      </c>
      <c r="M11" s="7">
        <f>Table2345345687911121514161718192021222324252627283456789101134567891011126[[#This Row],[Cash]]-Table2345345687911121514161718192021222324252627283456789101134567891011126[[#This Row],[Expense]]</f>
        <v>33145</v>
      </c>
      <c r="O11" s="12" t="s">
        <v>7</v>
      </c>
      <c r="P11" s="12"/>
      <c r="Q11" s="12">
        <f>Q10/3</f>
        <v>12961.5</v>
      </c>
      <c r="R11" s="12"/>
      <c r="S11" s="12"/>
      <c r="T11" s="11"/>
      <c r="U11" s="11"/>
      <c r="V11" s="11"/>
    </row>
    <row r="12" spans="1:22" x14ac:dyDescent="0.35">
      <c r="A12" s="6">
        <v>45606</v>
      </c>
      <c r="B12" s="7">
        <f>Table2345345687911121514161718192021222324252627283456789101134567891011126[[#This Row],[Profit]]-Table2345345687911121514161718192021222324252627283456789101134567891011126[[#This Row],[Mulbhag]]</f>
        <v>10098.599999999999</v>
      </c>
      <c r="C12" s="43">
        <f>Table2345345687911121514161718192021222324252627283456789101134567891011126[[#This Row],[Profit]]/3</f>
        <v>5049.3</v>
      </c>
      <c r="D12" s="7">
        <f t="shared" si="0"/>
        <v>15147.9</v>
      </c>
      <c r="E12" s="7">
        <f t="shared" si="1"/>
        <v>35345.1</v>
      </c>
      <c r="F12" s="7">
        <f t="shared" si="2"/>
        <v>50493</v>
      </c>
      <c r="G12" s="7">
        <v>19050</v>
      </c>
      <c r="H12" s="7">
        <v>31443</v>
      </c>
      <c r="I12" s="7">
        <v>1400</v>
      </c>
      <c r="J12" s="7"/>
      <c r="K12" s="7">
        <f>Table2345345687911121514161718192021222324252627283456789101134567891011126[[#This Row],[Account Transfer]]-Table2345345687911121514161718192021222324252627283456789101134567891011126[[#This Row],[Expense Online]]</f>
        <v>31443</v>
      </c>
      <c r="L12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2502.1000000000022</v>
      </c>
      <c r="M12" s="7">
        <f>Table2345345687911121514161718192021222324252627283456789101134567891011126[[#This Row],[Cash]]-Table2345345687911121514161718192021222324252627283456789101134567891011126[[#This Row],[Expense]]</f>
        <v>17650</v>
      </c>
    </row>
    <row r="13" spans="1:22" x14ac:dyDescent="0.35">
      <c r="A13" s="6">
        <v>45607</v>
      </c>
      <c r="B13" s="7">
        <f>Table2345345687911121514161718192021222324252627283456789101134567891011126[[#This Row],[Profit]]-Table2345345687911121514161718192021222324252627283456789101134567891011126[[#This Row],[Mulbhag]]</f>
        <v>3372</v>
      </c>
      <c r="C13" s="43">
        <f>Table2345345687911121514161718192021222324252627283456789101134567891011126[[#This Row],[Profit]]/3</f>
        <v>1686</v>
      </c>
      <c r="D13" s="7">
        <f t="shared" si="0"/>
        <v>5058</v>
      </c>
      <c r="E13" s="7">
        <f t="shared" si="1"/>
        <v>11802</v>
      </c>
      <c r="F13" s="7">
        <f t="shared" si="2"/>
        <v>16860</v>
      </c>
      <c r="G13" s="7">
        <v>14150</v>
      </c>
      <c r="H13" s="7">
        <v>2710</v>
      </c>
      <c r="I13" s="7">
        <v>1200</v>
      </c>
      <c r="J13" s="7"/>
      <c r="K13" s="7">
        <f>Table2345345687911121514161718192021222324252627283456789101134567891011126[[#This Row],[Account Transfer]]-Table2345345687911121514161718192021222324252627283456789101134567891011126[[#This Row],[Expense Online]]</f>
        <v>2710</v>
      </c>
      <c r="L13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7892</v>
      </c>
      <c r="M13" s="7">
        <f>Table2345345687911121514161718192021222324252627283456789101134567891011126[[#This Row],[Cash]]-Table2345345687911121514161718192021222324252627283456789101134567891011126[[#This Row],[Expense]]</f>
        <v>12950</v>
      </c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45608</v>
      </c>
      <c r="B14" s="7">
        <f>Table2345345687911121514161718192021222324252627283456789101134567891011126[[#This Row],[Profit]]-Table2345345687911121514161718192021222324252627283456789101134567891011126[[#This Row],[Mulbhag]]</f>
        <v>7130.1999999999989</v>
      </c>
      <c r="C14" s="43">
        <f>Table2345345687911121514161718192021222324252627283456789101134567891011126[[#This Row],[Profit]]/3</f>
        <v>3565.1</v>
      </c>
      <c r="D14" s="7">
        <f t="shared" si="0"/>
        <v>10695.3</v>
      </c>
      <c r="E14" s="7">
        <f t="shared" si="1"/>
        <v>24955.7</v>
      </c>
      <c r="F14" s="7">
        <f t="shared" si="2"/>
        <v>35651</v>
      </c>
      <c r="G14" s="7">
        <v>5710</v>
      </c>
      <c r="H14" s="7">
        <v>29941</v>
      </c>
      <c r="I14" s="7">
        <v>1700</v>
      </c>
      <c r="J14" s="7"/>
      <c r="K14" s="7">
        <f>Table2345345687911121514161718192021222324252627283456789101134567891011126[[#This Row],[Account Transfer]]-Table2345345687911121514161718192021222324252627283456789101134567891011126[[#This Row],[Expense Online]]</f>
        <v>29941</v>
      </c>
      <c r="L14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-6685.2999999999993</v>
      </c>
      <c r="M14" s="7">
        <f>Table2345345687911121514161718192021222324252627283456789101134567891011126[[#This Row],[Cash]]-Table2345345687911121514161718192021222324252627283456789101134567891011126[[#This Row],[Expense]]</f>
        <v>4010</v>
      </c>
      <c r="O14" s="10">
        <f t="shared" ref="O14:O20" si="11">A10</f>
        <v>45604</v>
      </c>
      <c r="P14" s="11">
        <f>Q14/3</f>
        <v>919</v>
      </c>
      <c r="Q14" s="11">
        <f>S14*0.3</f>
        <v>2757</v>
      </c>
      <c r="R14" s="11">
        <f t="shared" ref="R14:R20" si="12">S14-Q14</f>
        <v>6433</v>
      </c>
      <c r="S14" s="11">
        <f>T14+U14</f>
        <v>9190</v>
      </c>
      <c r="T14" s="11">
        <f t="shared" ref="T14:T20" si="13">VLOOKUP(O14,$A$1:$J$34,7,0)</f>
        <v>4000</v>
      </c>
      <c r="U14" s="11">
        <f t="shared" ref="U14:U20" si="14">VLOOKUP(O14,$A$1:$J$34,8,0)</f>
        <v>5190</v>
      </c>
      <c r="V14" s="11">
        <f t="shared" ref="V14:V20" si="15">VLOOKUP(O14,$A$1:$J$34,9,0)</f>
        <v>120</v>
      </c>
    </row>
    <row r="15" spans="1:22" x14ac:dyDescent="0.35">
      <c r="A15" s="6">
        <v>45609</v>
      </c>
      <c r="B15" s="7">
        <f>Table2345345687911121514161718192021222324252627283456789101134567891011126[[#This Row],[Profit]]-Table2345345687911121514161718192021222324252627283456789101134567891011126[[#This Row],[Mulbhag]]</f>
        <v>20120</v>
      </c>
      <c r="C15" s="43">
        <f>Table2345345687911121514161718192021222324252627283456789101134567891011126[[#This Row],[Profit]]/3</f>
        <v>10060</v>
      </c>
      <c r="D15" s="7">
        <f t="shared" si="0"/>
        <v>30180</v>
      </c>
      <c r="E15" s="7">
        <f t="shared" si="1"/>
        <v>70420</v>
      </c>
      <c r="F15" s="7">
        <f t="shared" si="2"/>
        <v>100600</v>
      </c>
      <c r="G15" s="7">
        <v>7000</v>
      </c>
      <c r="H15" s="7">
        <v>93600</v>
      </c>
      <c r="I15" s="7">
        <v>1410</v>
      </c>
      <c r="J15" s="7">
        <v>610</v>
      </c>
      <c r="K15" s="7">
        <f>Table2345345687911121514161718192021222324252627283456789101134567891011126[[#This Row],[Account Transfer]]-Table2345345687911121514161718192021222324252627283456789101134567891011126[[#This Row],[Expense Online]]</f>
        <v>92990</v>
      </c>
      <c r="L15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-24590</v>
      </c>
      <c r="M15" s="7">
        <f>Table2345345687911121514161718192021222324252627283456789101134567891011126[[#This Row],[Cash]]-Table2345345687911121514161718192021222324252627283456789101134567891011126[[#This Row],[Expense]]</f>
        <v>5590</v>
      </c>
      <c r="O15" s="8">
        <f t="shared" si="11"/>
        <v>45605</v>
      </c>
      <c r="P15" s="9">
        <f>Q15/3</f>
        <v>5321</v>
      </c>
      <c r="Q15" s="9">
        <f>S15*0.3</f>
        <v>15963</v>
      </c>
      <c r="R15" s="9">
        <f t="shared" si="12"/>
        <v>37247</v>
      </c>
      <c r="S15" s="9">
        <f t="shared" ref="S15:S20" si="16">T15+U15</f>
        <v>53210</v>
      </c>
      <c r="T15" s="9">
        <f t="shared" si="13"/>
        <v>34175</v>
      </c>
      <c r="U15" s="9">
        <f t="shared" si="14"/>
        <v>19035</v>
      </c>
      <c r="V15" s="9">
        <f t="shared" si="15"/>
        <v>1030</v>
      </c>
    </row>
    <row r="16" spans="1:22" x14ac:dyDescent="0.35">
      <c r="A16" s="6">
        <v>45610</v>
      </c>
      <c r="B16" s="7">
        <f>Table2345345687911121514161718192021222324252627283456789101134567891011126[[#This Row],[Profit]]-Table2345345687911121514161718192021222324252627283456789101134567891011126[[#This Row],[Mulbhag]]</f>
        <v>4529</v>
      </c>
      <c r="C16" s="43">
        <f>Table2345345687911121514161718192021222324252627283456789101134567891011126[[#This Row],[Profit]]/3</f>
        <v>2264.5</v>
      </c>
      <c r="D16" s="7">
        <f t="shared" si="0"/>
        <v>6793.5</v>
      </c>
      <c r="E16" s="7">
        <f t="shared" si="1"/>
        <v>15851.5</v>
      </c>
      <c r="F16" s="7">
        <f t="shared" si="2"/>
        <v>22645</v>
      </c>
      <c r="G16" s="7">
        <v>7400</v>
      </c>
      <c r="H16" s="7">
        <v>15245</v>
      </c>
      <c r="I16" s="7">
        <v>2350</v>
      </c>
      <c r="J16" s="7">
        <v>520</v>
      </c>
      <c r="K16" s="7">
        <f>Table2345345687911121514161718192021222324252627283456789101134567891011126[[#This Row],[Account Transfer]]-Table2345345687911121514161718192021222324252627283456789101134567891011126[[#This Row],[Expense Online]]</f>
        <v>14725</v>
      </c>
      <c r="L16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-1743.5</v>
      </c>
      <c r="M16" s="7">
        <f>Table2345345687911121514161718192021222324252627283456789101134567891011126[[#This Row],[Cash]]-Table2345345687911121514161718192021222324252627283456789101134567891011126[[#This Row],[Expense]]</f>
        <v>5050</v>
      </c>
      <c r="O16" s="10">
        <f t="shared" si="11"/>
        <v>45606</v>
      </c>
      <c r="P16" s="11">
        <f t="shared" ref="P16:P20" si="17">Q16/3</f>
        <v>5049.3</v>
      </c>
      <c r="Q16" s="11">
        <f t="shared" ref="Q16:Q20" si="18">S16*0.3</f>
        <v>15147.9</v>
      </c>
      <c r="R16" s="11">
        <f t="shared" si="12"/>
        <v>35345.1</v>
      </c>
      <c r="S16" s="11">
        <f t="shared" si="16"/>
        <v>50493</v>
      </c>
      <c r="T16" s="11">
        <f t="shared" si="13"/>
        <v>19050</v>
      </c>
      <c r="U16" s="11">
        <f t="shared" si="14"/>
        <v>31443</v>
      </c>
      <c r="V16" s="11">
        <f t="shared" si="15"/>
        <v>1400</v>
      </c>
    </row>
    <row r="17" spans="1:22" x14ac:dyDescent="0.35">
      <c r="A17" s="6">
        <v>45611</v>
      </c>
      <c r="B17" s="7">
        <f>Table2345345687911121514161718192021222324252627283456789101134567891011126[[#This Row],[Profit]]-Table2345345687911121514161718192021222324252627283456789101134567891011126[[#This Row],[Mulbhag]]</f>
        <v>4430.6000000000004</v>
      </c>
      <c r="C17" s="43">
        <f>Table2345345687911121514161718192021222324252627283456789101134567891011126[[#This Row],[Profit]]/3</f>
        <v>2215.2999999999997</v>
      </c>
      <c r="D17" s="7">
        <f t="shared" si="0"/>
        <v>6645.9</v>
      </c>
      <c r="E17" s="7">
        <f t="shared" si="1"/>
        <v>15507.1</v>
      </c>
      <c r="F17" s="7">
        <f t="shared" si="2"/>
        <v>22153</v>
      </c>
      <c r="G17" s="7">
        <v>18710</v>
      </c>
      <c r="H17" s="7">
        <v>3443</v>
      </c>
      <c r="I17" s="7">
        <v>3520</v>
      </c>
      <c r="J17" s="7"/>
      <c r="K17" s="7">
        <f>Table2345345687911121514161718192021222324252627283456789101134567891011126[[#This Row],[Account Transfer]]-Table2345345687911121514161718192021222324252627283456789101134567891011126[[#This Row],[Expense Online]]</f>
        <v>3443</v>
      </c>
      <c r="L17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8544.1</v>
      </c>
      <c r="M17" s="7">
        <f>Table2345345687911121514161718192021222324252627283456789101134567891011126[[#This Row],[Cash]]-Table2345345687911121514161718192021222324252627283456789101134567891011126[[#This Row],[Expense]]</f>
        <v>15190</v>
      </c>
      <c r="O17" s="8">
        <f t="shared" si="11"/>
        <v>45607</v>
      </c>
      <c r="P17" s="9">
        <f t="shared" si="17"/>
        <v>1686</v>
      </c>
      <c r="Q17" s="9">
        <f t="shared" si="18"/>
        <v>5058</v>
      </c>
      <c r="R17" s="9">
        <f t="shared" si="12"/>
        <v>11802</v>
      </c>
      <c r="S17" s="9">
        <f t="shared" si="16"/>
        <v>16860</v>
      </c>
      <c r="T17" s="9">
        <f t="shared" si="13"/>
        <v>14150</v>
      </c>
      <c r="U17" s="9">
        <f t="shared" si="14"/>
        <v>2710</v>
      </c>
      <c r="V17" s="9">
        <f t="shared" si="15"/>
        <v>1200</v>
      </c>
    </row>
    <row r="18" spans="1:22" x14ac:dyDescent="0.35">
      <c r="A18" s="6">
        <v>45612</v>
      </c>
      <c r="B18" s="7">
        <f>Table2345345687911121514161718192021222324252627283456789101134567891011126[[#This Row],[Profit]]-Table2345345687911121514161718192021222324252627283456789101134567891011126[[#This Row],[Mulbhag]]</f>
        <v>6660</v>
      </c>
      <c r="C18" s="43">
        <f>Table2345345687911121514161718192021222324252627283456789101134567891011126[[#This Row],[Profit]]/3</f>
        <v>3330</v>
      </c>
      <c r="D18" s="7">
        <f t="shared" si="0"/>
        <v>9990</v>
      </c>
      <c r="E18" s="7">
        <f t="shared" si="1"/>
        <v>23310</v>
      </c>
      <c r="F18" s="7">
        <f t="shared" si="2"/>
        <v>33300</v>
      </c>
      <c r="G18" s="7">
        <v>21000</v>
      </c>
      <c r="H18" s="7">
        <v>12300</v>
      </c>
      <c r="I18" s="7">
        <v>1190</v>
      </c>
      <c r="J18" s="7">
        <v>800</v>
      </c>
      <c r="K18" s="7">
        <f>Table2345345687911121514161718192021222324252627283456789101134567891011126[[#This Row],[Account Transfer]]-Table2345345687911121514161718192021222324252627283456789101134567891011126[[#This Row],[Expense Online]]</f>
        <v>11500</v>
      </c>
      <c r="L18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9820</v>
      </c>
      <c r="M18" s="7">
        <f>Table2345345687911121514161718192021222324252627283456789101134567891011126[[#This Row],[Cash]]-Table2345345687911121514161718192021222324252627283456789101134567891011126[[#This Row],[Expense]]</f>
        <v>19810</v>
      </c>
      <c r="O18" s="10">
        <f t="shared" si="11"/>
        <v>45608</v>
      </c>
      <c r="P18" s="11">
        <f t="shared" si="17"/>
        <v>3565.1</v>
      </c>
      <c r="Q18" s="11">
        <f t="shared" si="18"/>
        <v>10695.3</v>
      </c>
      <c r="R18" s="11">
        <f t="shared" si="12"/>
        <v>24955.7</v>
      </c>
      <c r="S18" s="11">
        <f t="shared" si="16"/>
        <v>35651</v>
      </c>
      <c r="T18" s="11">
        <f t="shared" si="13"/>
        <v>5710</v>
      </c>
      <c r="U18" s="11">
        <f t="shared" si="14"/>
        <v>29941</v>
      </c>
      <c r="V18" s="11">
        <f t="shared" si="15"/>
        <v>1700</v>
      </c>
    </row>
    <row r="19" spans="1:22" x14ac:dyDescent="0.35">
      <c r="A19" s="6">
        <v>45613</v>
      </c>
      <c r="B19" s="7">
        <f>Table2345345687911121514161718192021222324252627283456789101134567891011126[[#This Row],[Profit]]-Table2345345687911121514161718192021222324252627283456789101134567891011126[[#This Row],[Mulbhag]]</f>
        <v>6067</v>
      </c>
      <c r="C19" s="43">
        <f>Table2345345687911121514161718192021222324252627283456789101134567891011126[[#This Row],[Profit]]/3</f>
        <v>3033.5</v>
      </c>
      <c r="D19" s="7">
        <f t="shared" si="0"/>
        <v>9100.5</v>
      </c>
      <c r="E19" s="7">
        <f t="shared" si="1"/>
        <v>21234.5</v>
      </c>
      <c r="F19" s="7">
        <f t="shared" si="2"/>
        <v>30335</v>
      </c>
      <c r="G19" s="7">
        <v>13675</v>
      </c>
      <c r="H19" s="7">
        <v>16660</v>
      </c>
      <c r="I19" s="7">
        <v>1350</v>
      </c>
      <c r="J19" s="7"/>
      <c r="K19" s="7">
        <f>Table2345345687911121514161718192021222324252627283456789101134567891011126[[#This Row],[Account Transfer]]-Table2345345687911121514161718192021222324252627283456789101134567891011126[[#This Row],[Expense Online]]</f>
        <v>16660</v>
      </c>
      <c r="L19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3224.5</v>
      </c>
      <c r="M19" s="7">
        <f>Table2345345687911121514161718192021222324252627283456789101134567891011126[[#This Row],[Cash]]-Table2345345687911121514161718192021222324252627283456789101134567891011126[[#This Row],[Expense]]</f>
        <v>12325</v>
      </c>
      <c r="O19" s="8">
        <f t="shared" si="11"/>
        <v>45609</v>
      </c>
      <c r="P19" s="9">
        <f t="shared" si="17"/>
        <v>10060</v>
      </c>
      <c r="Q19" s="9">
        <f t="shared" si="18"/>
        <v>30180</v>
      </c>
      <c r="R19" s="9">
        <f t="shared" si="12"/>
        <v>70420</v>
      </c>
      <c r="S19" s="9">
        <f t="shared" si="16"/>
        <v>100600</v>
      </c>
      <c r="T19" s="9">
        <f t="shared" si="13"/>
        <v>7000</v>
      </c>
      <c r="U19" s="9">
        <f t="shared" si="14"/>
        <v>93600</v>
      </c>
      <c r="V19" s="9">
        <f t="shared" si="15"/>
        <v>1410</v>
      </c>
    </row>
    <row r="20" spans="1:22" x14ac:dyDescent="0.35">
      <c r="A20" s="6">
        <v>45614</v>
      </c>
      <c r="B20" s="7">
        <f>Table2345345687911121514161718192021222324252627283456789101134567891011126[[#This Row],[Profit]]-Table2345345687911121514161718192021222324252627283456789101134567891011126[[#This Row],[Mulbhag]]</f>
        <v>4058</v>
      </c>
      <c r="C20" s="43">
        <f>Table2345345687911121514161718192021222324252627283456789101134567891011126[[#This Row],[Profit]]/3</f>
        <v>2029</v>
      </c>
      <c r="D20" s="7">
        <f t="shared" si="0"/>
        <v>6087</v>
      </c>
      <c r="E20" s="7">
        <f t="shared" si="1"/>
        <v>14203</v>
      </c>
      <c r="F20" s="7">
        <f t="shared" si="2"/>
        <v>20290</v>
      </c>
      <c r="G20" s="7">
        <v>4500</v>
      </c>
      <c r="H20" s="7">
        <v>15790</v>
      </c>
      <c r="I20" s="7">
        <f>1585+3540</f>
        <v>5125</v>
      </c>
      <c r="J20" s="7"/>
      <c r="K20" s="7">
        <f>Table2345345687911121514161718192021222324252627283456789101134567891011126[[#This Row],[Account Transfer]]-Table2345345687911121514161718192021222324252627283456789101134567891011126[[#This Row],[Expense Online]]</f>
        <v>15790</v>
      </c>
      <c r="L20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-6712</v>
      </c>
      <c r="M20" s="7">
        <f>Table2345345687911121514161718192021222324252627283456789101134567891011126[[#This Row],[Cash]]-Table2345345687911121514161718192021222324252627283456789101134567891011126[[#This Row],[Expense]]</f>
        <v>-625</v>
      </c>
      <c r="O20" s="10">
        <f t="shared" si="11"/>
        <v>45610</v>
      </c>
      <c r="P20" s="11">
        <f t="shared" si="17"/>
        <v>2264.5</v>
      </c>
      <c r="Q20" s="11">
        <f t="shared" si="18"/>
        <v>6793.5</v>
      </c>
      <c r="R20" s="11">
        <f t="shared" si="12"/>
        <v>15851.5</v>
      </c>
      <c r="S20" s="11">
        <f t="shared" si="16"/>
        <v>22645</v>
      </c>
      <c r="T20" s="11">
        <f t="shared" si="13"/>
        <v>7400</v>
      </c>
      <c r="U20" s="11">
        <f t="shared" si="14"/>
        <v>15245</v>
      </c>
      <c r="V20" s="11">
        <f t="shared" si="15"/>
        <v>2350</v>
      </c>
    </row>
    <row r="21" spans="1:22" x14ac:dyDescent="0.35">
      <c r="A21" s="6">
        <v>45615</v>
      </c>
      <c r="B21" s="7">
        <f>Table2345345687911121514161718192021222324252627283456789101134567891011126[[#This Row],[Profit]]-Table2345345687911121514161718192021222324252627283456789101134567891011126[[#This Row],[Mulbhag]]</f>
        <v>1170</v>
      </c>
      <c r="C21" s="43">
        <f>Table2345345687911121514161718192021222324252627283456789101134567891011126[[#This Row],[Profit]]/3</f>
        <v>585</v>
      </c>
      <c r="D21" s="7">
        <f t="shared" si="0"/>
        <v>1755</v>
      </c>
      <c r="E21" s="7">
        <f t="shared" si="1"/>
        <v>4095</v>
      </c>
      <c r="F21" s="7">
        <f t="shared" si="2"/>
        <v>5850</v>
      </c>
      <c r="G21" s="7">
        <v>1830</v>
      </c>
      <c r="H21" s="7">
        <v>4020</v>
      </c>
      <c r="I21" s="7">
        <v>1700</v>
      </c>
      <c r="J21" s="7"/>
      <c r="K21" s="7">
        <f>Table2345345687911121514161718192021222324252627283456789101134567891011126[[#This Row],[Account Transfer]]-Table2345345687911121514161718192021222324252627283456789101134567891011126[[#This Row],[Expense Online]]</f>
        <v>4020</v>
      </c>
      <c r="L21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-1625</v>
      </c>
      <c r="M21" s="7">
        <f>Table2345345687911121514161718192021222324252627283456789101134567891011126[[#This Row],[Cash]]-Table2345345687911121514161718192021222324252627283456789101134567891011126[[#This Row],[Expense]]</f>
        <v>130</v>
      </c>
      <c r="O21" s="12" t="s">
        <v>3</v>
      </c>
      <c r="P21" s="12">
        <f>SUM(P14:P20)</f>
        <v>28864.899999999998</v>
      </c>
      <c r="Q21" s="12">
        <f t="shared" ref="Q21:V21" si="19">SUM(Q14:Q20)</f>
        <v>86594.7</v>
      </c>
      <c r="R21" s="12">
        <f t="shared" si="19"/>
        <v>202054.3</v>
      </c>
      <c r="S21" s="12">
        <f>SUM(S14:S20)</f>
        <v>288649</v>
      </c>
      <c r="T21" s="12">
        <f t="shared" si="19"/>
        <v>91485</v>
      </c>
      <c r="U21" s="12">
        <f t="shared" si="19"/>
        <v>197164</v>
      </c>
      <c r="V21" s="12">
        <f t="shared" si="19"/>
        <v>9210</v>
      </c>
    </row>
    <row r="22" spans="1:22" x14ac:dyDescent="0.35">
      <c r="A22" s="6">
        <v>45616</v>
      </c>
      <c r="B22" s="7">
        <f>Table2345345687911121514161718192021222324252627283456789101134567891011126[[#This Row],[Profit]]-Table2345345687911121514161718192021222324252627283456789101134567891011126[[#This Row],[Mulbhag]]</f>
        <v>1620</v>
      </c>
      <c r="C22" s="43">
        <f>Table2345345687911121514161718192021222324252627283456789101134567891011126[[#This Row],[Profit]]/3</f>
        <v>810</v>
      </c>
      <c r="D22" s="7">
        <f t="shared" si="0"/>
        <v>2430</v>
      </c>
      <c r="E22" s="7">
        <f t="shared" si="1"/>
        <v>5670</v>
      </c>
      <c r="F22" s="7">
        <f t="shared" si="2"/>
        <v>8100</v>
      </c>
      <c r="G22" s="7">
        <v>2600</v>
      </c>
      <c r="H22" s="7">
        <v>5500</v>
      </c>
      <c r="I22" s="7">
        <v>1700</v>
      </c>
      <c r="J22" s="7">
        <v>120</v>
      </c>
      <c r="K22" s="7">
        <f>Table2345345687911121514161718192021222324252627283456789101134567891011126[[#This Row],[Account Transfer]]-Table2345345687911121514161718192021222324252627283456789101134567891011126[[#This Row],[Expense Online]]</f>
        <v>5380</v>
      </c>
      <c r="L22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-1530</v>
      </c>
      <c r="M22" s="7">
        <f>Table2345345687911121514161718192021222324252627283456789101134567891011126[[#This Row],[Cash]]-Table2345345687911121514161718192021222324252627283456789101134567891011126[[#This Row],[Expense]]</f>
        <v>900</v>
      </c>
      <c r="O22" s="12" t="s">
        <v>7</v>
      </c>
      <c r="P22" s="12"/>
      <c r="Q22" s="12">
        <f>Q21/3</f>
        <v>28864.899999999998</v>
      </c>
      <c r="R22" s="12"/>
      <c r="S22" s="12">
        <f>R22+Q22</f>
        <v>28864.899999999998</v>
      </c>
      <c r="T22" s="11"/>
      <c r="U22" s="11"/>
      <c r="V22" s="11"/>
    </row>
    <row r="23" spans="1:22" x14ac:dyDescent="0.35">
      <c r="A23" s="6">
        <v>45617</v>
      </c>
      <c r="B23" s="7">
        <f>Table2345345687911121514161718192021222324252627283456789101134567891011126[[#This Row],[Profit]]-Table2345345687911121514161718192021222324252627283456789101134567891011126[[#This Row],[Mulbhag]]</f>
        <v>4228</v>
      </c>
      <c r="C23" s="43">
        <f>Table2345345687911121514161718192021222324252627283456789101134567891011126[[#This Row],[Profit]]/3</f>
        <v>2114</v>
      </c>
      <c r="D23" s="7">
        <f t="shared" si="0"/>
        <v>6342</v>
      </c>
      <c r="E23" s="7">
        <f t="shared" si="1"/>
        <v>14798</v>
      </c>
      <c r="F23" s="7">
        <f t="shared" si="2"/>
        <v>21140</v>
      </c>
      <c r="G23" s="7">
        <v>5320</v>
      </c>
      <c r="H23" s="7">
        <v>15820</v>
      </c>
      <c r="I23" s="7">
        <f>700+2500</f>
        <v>3200</v>
      </c>
      <c r="J23" s="7">
        <v>60</v>
      </c>
      <c r="K23" s="7">
        <f>Table2345345687911121514161718192021222324252627283456789101134567891011126[[#This Row],[Account Transfer]]-Table2345345687911121514161718192021222324252627283456789101134567891011126[[#This Row],[Expense Online]]</f>
        <v>15760</v>
      </c>
      <c r="L23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-4222</v>
      </c>
      <c r="M23" s="7">
        <f>Table2345345687911121514161718192021222324252627283456789101134567891011126[[#This Row],[Cash]]-Table2345345687911121514161718192021222324252627283456789101134567891011126[[#This Row],[Expense]]</f>
        <v>2120</v>
      </c>
    </row>
    <row r="24" spans="1:22" x14ac:dyDescent="0.35">
      <c r="A24" s="6">
        <v>45618</v>
      </c>
      <c r="B24" s="7">
        <f>Table2345345687911121514161718192021222324252627283456789101134567891011126[[#This Row],[Profit]]-Table2345345687911121514161718192021222324252627283456789101134567891011126[[#This Row],[Mulbhag]]</f>
        <v>6993.7999999999993</v>
      </c>
      <c r="C24" s="43">
        <f>Table2345345687911121514161718192021222324252627283456789101134567891011126[[#This Row],[Profit]]/3</f>
        <v>3496.8999999999996</v>
      </c>
      <c r="D24" s="7">
        <f t="shared" si="0"/>
        <v>10490.699999999999</v>
      </c>
      <c r="E24" s="7">
        <f t="shared" si="1"/>
        <v>24478.300000000003</v>
      </c>
      <c r="F24" s="7">
        <f t="shared" si="2"/>
        <v>34969</v>
      </c>
      <c r="G24" s="7">
        <v>32689</v>
      </c>
      <c r="H24" s="7">
        <v>2280</v>
      </c>
      <c r="I24" s="7">
        <v>4340</v>
      </c>
      <c r="J24" s="7"/>
      <c r="K24" s="7">
        <f>Table2345345687911121514161718192021222324252627283456789101134567891011126[[#This Row],[Account Transfer]]-Table2345345687911121514161718192021222324252627283456789101134567891011126[[#This Row],[Expense Online]]</f>
        <v>2280</v>
      </c>
      <c r="L24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17858.3</v>
      </c>
      <c r="M24" s="7">
        <f>Table2345345687911121514161718192021222324252627283456789101134567891011126[[#This Row],[Cash]]-Table2345345687911121514161718192021222324252627283456789101134567891011126[[#This Row],[Expense]]</f>
        <v>28349</v>
      </c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45619</v>
      </c>
      <c r="B25" s="7">
        <f>Table2345345687911121514161718192021222324252627283456789101134567891011126[[#This Row],[Profit]]-Table2345345687911121514161718192021222324252627283456789101134567891011126[[#This Row],[Mulbhag]]</f>
        <v>2672</v>
      </c>
      <c r="C25" s="43">
        <f>Table2345345687911121514161718192021222324252627283456789101134567891011126[[#This Row],[Profit]]/3</f>
        <v>1336</v>
      </c>
      <c r="D25" s="7">
        <f t="shared" si="0"/>
        <v>4008</v>
      </c>
      <c r="E25" s="7">
        <f t="shared" si="1"/>
        <v>9352</v>
      </c>
      <c r="F25" s="7">
        <f t="shared" si="2"/>
        <v>13360</v>
      </c>
      <c r="G25" s="7">
        <v>4680</v>
      </c>
      <c r="H25" s="7">
        <f>7880+800</f>
        <v>8680</v>
      </c>
      <c r="I25" s="7">
        <v>1200</v>
      </c>
      <c r="J25" s="7"/>
      <c r="K25" s="7">
        <f>Table2345345687911121514161718192021222324252627283456789101134567891011126[[#This Row],[Account Transfer]]-Table2345345687911121514161718192021222324252627283456789101134567891011126[[#This Row],[Expense Online]]</f>
        <v>8680</v>
      </c>
      <c r="L25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-528</v>
      </c>
      <c r="M25" s="7">
        <f>Table2345345687911121514161718192021222324252627283456789101134567891011126[[#This Row],[Cash]]-Table2345345687911121514161718192021222324252627283456789101134567891011126[[#This Row],[Expense]]</f>
        <v>3480</v>
      </c>
      <c r="O25" s="10">
        <f t="shared" ref="O25:O31" si="20">A17</f>
        <v>45611</v>
      </c>
      <c r="P25" s="11">
        <f>Q25/3</f>
        <v>2215.2999999999997</v>
      </c>
      <c r="Q25" s="11">
        <f>S25*0.3</f>
        <v>6645.9</v>
      </c>
      <c r="R25" s="11">
        <f t="shared" ref="R25:R31" si="21">S25-Q25</f>
        <v>15507.1</v>
      </c>
      <c r="S25" s="11">
        <f>T25+U25</f>
        <v>22153</v>
      </c>
      <c r="T25" s="11">
        <f t="shared" ref="T25:T31" si="22">VLOOKUP(O25,$A$1:$J$34,7,0)</f>
        <v>18710</v>
      </c>
      <c r="U25" s="11">
        <f t="shared" ref="U25:U31" si="23">VLOOKUP(O25,$A$1:$J$34,8,0)</f>
        <v>3443</v>
      </c>
      <c r="V25" s="11">
        <f t="shared" ref="V25:V31" si="24">VLOOKUP(O25,$A$1:$J$34,9,0)</f>
        <v>3520</v>
      </c>
    </row>
    <row r="26" spans="1:22" x14ac:dyDescent="0.35">
      <c r="A26" s="6">
        <v>45620</v>
      </c>
      <c r="B26" s="7">
        <f>Table2345345687911121514161718192021222324252627283456789101134567891011126[[#This Row],[Profit]]-Table2345345687911121514161718192021222324252627283456789101134567891011126[[#This Row],[Mulbhag]]</f>
        <v>4193</v>
      </c>
      <c r="C26" s="43">
        <f>Table2345345687911121514161718192021222324252627283456789101134567891011126[[#This Row],[Profit]]/3</f>
        <v>2096.5</v>
      </c>
      <c r="D26" s="7">
        <f t="shared" si="0"/>
        <v>6289.5</v>
      </c>
      <c r="E26" s="7">
        <f t="shared" si="1"/>
        <v>14675.5</v>
      </c>
      <c r="F26" s="7">
        <f t="shared" si="2"/>
        <v>20965</v>
      </c>
      <c r="G26" s="7">
        <v>6000</v>
      </c>
      <c r="H26" s="7">
        <f>11015+3950</f>
        <v>14965</v>
      </c>
      <c r="I26" s="7">
        <v>1250</v>
      </c>
      <c r="J26" s="7"/>
      <c r="K26" s="7">
        <f>Table2345345687911121514161718192021222324252627283456789101134567891011126[[#This Row],[Account Transfer]]-Table2345345687911121514161718192021222324252627283456789101134567891011126[[#This Row],[Expense Online]]</f>
        <v>14965</v>
      </c>
      <c r="L26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-1539.5</v>
      </c>
      <c r="M26" s="7">
        <f>Table2345345687911121514161718192021222324252627283456789101134567891011126[[#This Row],[Cash]]-Table2345345687911121514161718192021222324252627283456789101134567891011126[[#This Row],[Expense]]</f>
        <v>4750</v>
      </c>
      <c r="O26" s="8">
        <f t="shared" si="20"/>
        <v>45612</v>
      </c>
      <c r="P26" s="9">
        <f>Q26/3</f>
        <v>3330</v>
      </c>
      <c r="Q26" s="9">
        <f>S26*0.3</f>
        <v>9990</v>
      </c>
      <c r="R26" s="9">
        <f t="shared" si="21"/>
        <v>23310</v>
      </c>
      <c r="S26" s="9">
        <f t="shared" ref="S26:S31" si="25">T26+U26</f>
        <v>33300</v>
      </c>
      <c r="T26" s="9">
        <f t="shared" si="22"/>
        <v>21000</v>
      </c>
      <c r="U26" s="9">
        <f t="shared" si="23"/>
        <v>12300</v>
      </c>
      <c r="V26" s="9">
        <f t="shared" si="24"/>
        <v>1190</v>
      </c>
    </row>
    <row r="27" spans="1:22" x14ac:dyDescent="0.35">
      <c r="A27" s="6">
        <v>45621</v>
      </c>
      <c r="B27" s="7">
        <f>Table2345345687911121514161718192021222324252627283456789101134567891011126[[#This Row],[Profit]]-Table2345345687911121514161718192021222324252627283456789101134567891011126[[#This Row],[Mulbhag]]</f>
        <v>5650</v>
      </c>
      <c r="C27" s="43">
        <f>Table2345345687911121514161718192021222324252627283456789101134567891011126[[#This Row],[Profit]]/3</f>
        <v>2825</v>
      </c>
      <c r="D27" s="7">
        <f t="shared" si="0"/>
        <v>8475</v>
      </c>
      <c r="E27" s="7">
        <f t="shared" si="1"/>
        <v>19775</v>
      </c>
      <c r="F27" s="7">
        <f t="shared" si="2"/>
        <v>28250</v>
      </c>
      <c r="G27" s="7">
        <v>9800</v>
      </c>
      <c r="H27" s="7">
        <v>18450</v>
      </c>
      <c r="I27" s="7">
        <v>3100</v>
      </c>
      <c r="J27" s="7"/>
      <c r="K27" s="7">
        <f>Table2345345687911121514161718192021222324252627283456789101134567891011126[[#This Row],[Account Transfer]]-Table2345345687911121514161718192021222324252627283456789101134567891011126[[#This Row],[Expense Online]]</f>
        <v>18450</v>
      </c>
      <c r="L27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-1775</v>
      </c>
      <c r="M27" s="7">
        <f>Table2345345687911121514161718192021222324252627283456789101134567891011126[[#This Row],[Cash]]-Table2345345687911121514161718192021222324252627283456789101134567891011126[[#This Row],[Expense]]</f>
        <v>6700</v>
      </c>
      <c r="O27" s="10">
        <f t="shared" si="20"/>
        <v>45613</v>
      </c>
      <c r="P27" s="11">
        <f t="shared" ref="P27:P31" si="26">Q27/3</f>
        <v>3033.5</v>
      </c>
      <c r="Q27" s="11">
        <f t="shared" ref="Q27:Q31" si="27">S27*0.3</f>
        <v>9100.5</v>
      </c>
      <c r="R27" s="11">
        <f t="shared" si="21"/>
        <v>21234.5</v>
      </c>
      <c r="S27" s="11">
        <f t="shared" si="25"/>
        <v>30335</v>
      </c>
      <c r="T27" s="11">
        <f t="shared" si="22"/>
        <v>13675</v>
      </c>
      <c r="U27" s="11">
        <f t="shared" si="23"/>
        <v>16660</v>
      </c>
      <c r="V27" s="11">
        <f t="shared" si="24"/>
        <v>1350</v>
      </c>
    </row>
    <row r="28" spans="1:22" x14ac:dyDescent="0.35">
      <c r="A28" s="6">
        <v>45622</v>
      </c>
      <c r="B28" s="7">
        <f>Table2345345687911121514161718192021222324252627283456789101134567891011126[[#This Row],[Profit]]-Table2345345687911121514161718192021222324252627283456789101134567891011126[[#This Row],[Mulbhag]]</f>
        <v>2671</v>
      </c>
      <c r="C28" s="43">
        <f>Table2345345687911121514161718192021222324252627283456789101134567891011126[[#This Row],[Profit]]/3</f>
        <v>1335.5</v>
      </c>
      <c r="D28" s="7">
        <f t="shared" si="0"/>
        <v>4006.5</v>
      </c>
      <c r="E28" s="7">
        <f t="shared" si="1"/>
        <v>9348.5</v>
      </c>
      <c r="F28" s="7">
        <f t="shared" si="2"/>
        <v>13355</v>
      </c>
      <c r="G28" s="7">
        <v>7655</v>
      </c>
      <c r="H28" s="7">
        <v>5700</v>
      </c>
      <c r="I28" s="7">
        <v>3655</v>
      </c>
      <c r="J28" s="7"/>
      <c r="K28" s="7">
        <f>Table2345345687911121514161718192021222324252627283456789101134567891011126[[#This Row],[Account Transfer]]-Table2345345687911121514161718192021222324252627283456789101134567891011126[[#This Row],[Expense Online]]</f>
        <v>5700</v>
      </c>
      <c r="L28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-6.5</v>
      </c>
      <c r="M28" s="7">
        <f>Table2345345687911121514161718192021222324252627283456789101134567891011126[[#This Row],[Cash]]-Table2345345687911121514161718192021222324252627283456789101134567891011126[[#This Row],[Expense]]</f>
        <v>4000</v>
      </c>
      <c r="O28" s="8">
        <f t="shared" si="20"/>
        <v>45614</v>
      </c>
      <c r="P28" s="9">
        <f t="shared" si="26"/>
        <v>2029</v>
      </c>
      <c r="Q28" s="9">
        <f t="shared" si="27"/>
        <v>6087</v>
      </c>
      <c r="R28" s="9">
        <f t="shared" si="21"/>
        <v>14203</v>
      </c>
      <c r="S28" s="9">
        <f t="shared" si="25"/>
        <v>20290</v>
      </c>
      <c r="T28" s="9">
        <f t="shared" si="22"/>
        <v>4500</v>
      </c>
      <c r="U28" s="9">
        <f t="shared" si="23"/>
        <v>15790</v>
      </c>
      <c r="V28" s="9">
        <f t="shared" si="24"/>
        <v>5125</v>
      </c>
    </row>
    <row r="29" spans="1:22" x14ac:dyDescent="0.35">
      <c r="A29" s="6">
        <v>45623</v>
      </c>
      <c r="B29" s="7">
        <f>Table2345345687911121514161718192021222324252627283456789101134567891011126[[#This Row],[Profit]]-Table2345345687911121514161718192021222324252627283456789101134567891011126[[#This Row],[Mulbhag]]</f>
        <v>8235.2000000000007</v>
      </c>
      <c r="C29" s="43">
        <f>Table2345345687911121514161718192021222324252627283456789101134567891011126[[#This Row],[Profit]]/3</f>
        <v>4117.5999999999995</v>
      </c>
      <c r="D29" s="7">
        <f t="shared" si="0"/>
        <v>12352.8</v>
      </c>
      <c r="E29" s="7">
        <f t="shared" si="1"/>
        <v>28823.200000000001</v>
      </c>
      <c r="F29" s="7">
        <f t="shared" si="2"/>
        <v>41176</v>
      </c>
      <c r="G29" s="7">
        <v>34785</v>
      </c>
      <c r="H29" s="7">
        <v>6391</v>
      </c>
      <c r="I29" s="7">
        <v>8540</v>
      </c>
      <c r="J29" s="7"/>
      <c r="K29" s="7">
        <f>Table2345345687911121514161718192021222324252627283456789101134567891011126[[#This Row],[Account Transfer]]-Table2345345687911121514161718192021222324252627283456789101134567891011126[[#This Row],[Expense Online]]</f>
        <v>6391</v>
      </c>
      <c r="L29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13892.2</v>
      </c>
      <c r="M29" s="7">
        <f>Table2345345687911121514161718192021222324252627283456789101134567891011126[[#This Row],[Cash]]-Table2345345687911121514161718192021222324252627283456789101134567891011126[[#This Row],[Expense]]</f>
        <v>26245</v>
      </c>
      <c r="O29" s="10">
        <f t="shared" si="20"/>
        <v>45615</v>
      </c>
      <c r="P29" s="11">
        <f t="shared" si="26"/>
        <v>585</v>
      </c>
      <c r="Q29" s="11">
        <f t="shared" si="27"/>
        <v>1755</v>
      </c>
      <c r="R29" s="11">
        <f t="shared" si="21"/>
        <v>4095</v>
      </c>
      <c r="S29" s="11">
        <f t="shared" si="25"/>
        <v>5850</v>
      </c>
      <c r="T29" s="11">
        <f t="shared" si="22"/>
        <v>1830</v>
      </c>
      <c r="U29" s="11">
        <f t="shared" si="23"/>
        <v>4020</v>
      </c>
      <c r="V29" s="11">
        <f t="shared" si="24"/>
        <v>1700</v>
      </c>
    </row>
    <row r="30" spans="1:22" x14ac:dyDescent="0.35">
      <c r="A30" s="6">
        <v>45624</v>
      </c>
      <c r="B30" s="7">
        <f>Table2345345687911121514161718192021222324252627283456789101134567891011126[[#This Row],[Profit]]-Table2345345687911121514161718192021222324252627283456789101134567891011126[[#This Row],[Mulbhag]]</f>
        <v>1388</v>
      </c>
      <c r="C30" s="43">
        <f>Table2345345687911121514161718192021222324252627283456789101134567891011126[[#This Row],[Profit]]/3</f>
        <v>694</v>
      </c>
      <c r="D30" s="7">
        <f t="shared" si="0"/>
        <v>2082</v>
      </c>
      <c r="E30" s="7">
        <f t="shared" si="1"/>
        <v>4858</v>
      </c>
      <c r="F30" s="7">
        <f t="shared" si="2"/>
        <v>6940</v>
      </c>
      <c r="G30" s="7">
        <v>4770</v>
      </c>
      <c r="H30" s="7">
        <v>2170</v>
      </c>
      <c r="I30" s="7">
        <v>1150</v>
      </c>
      <c r="J30" s="7"/>
      <c r="K30" s="7">
        <f>Table2345345687911121514161718192021222324252627283456789101134567891011126[[#This Row],[Account Transfer]]-Table2345345687911121514161718192021222324252627283456789101134567891011126[[#This Row],[Expense Online]]</f>
        <v>2170</v>
      </c>
      <c r="L30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1538</v>
      </c>
      <c r="M30" s="7">
        <f>Table2345345687911121514161718192021222324252627283456789101134567891011126[[#This Row],[Cash]]-Table2345345687911121514161718192021222324252627283456789101134567891011126[[#This Row],[Expense]]</f>
        <v>3620</v>
      </c>
      <c r="O30" s="8">
        <f t="shared" si="20"/>
        <v>45616</v>
      </c>
      <c r="P30" s="9">
        <f t="shared" si="26"/>
        <v>810</v>
      </c>
      <c r="Q30" s="9">
        <f t="shared" si="27"/>
        <v>2430</v>
      </c>
      <c r="R30" s="9">
        <f t="shared" si="21"/>
        <v>5670</v>
      </c>
      <c r="S30" s="9">
        <f t="shared" si="25"/>
        <v>8100</v>
      </c>
      <c r="T30" s="9">
        <f t="shared" si="22"/>
        <v>2600</v>
      </c>
      <c r="U30" s="9">
        <f t="shared" si="23"/>
        <v>5500</v>
      </c>
      <c r="V30" s="9">
        <f t="shared" si="24"/>
        <v>1700</v>
      </c>
    </row>
    <row r="31" spans="1:22" x14ac:dyDescent="0.35">
      <c r="A31" s="6">
        <v>45625</v>
      </c>
      <c r="B31" s="7">
        <f>Table2345345687911121514161718192021222324252627283456789101134567891011126[[#This Row],[Profit]]-Table2345345687911121514161718192021222324252627283456789101134567891011126[[#This Row],[Mulbhag]]</f>
        <v>3921</v>
      </c>
      <c r="C31" s="43">
        <f>Table2345345687911121514161718192021222324252627283456789101134567891011126[[#This Row],[Profit]]/3</f>
        <v>1960.5</v>
      </c>
      <c r="D31" s="7">
        <f t="shared" si="0"/>
        <v>5881.5</v>
      </c>
      <c r="E31" s="7">
        <f t="shared" si="1"/>
        <v>13723.5</v>
      </c>
      <c r="F31" s="7">
        <f t="shared" si="2"/>
        <v>19605</v>
      </c>
      <c r="G31" s="7">
        <v>6705</v>
      </c>
      <c r="H31" s="7">
        <v>12900</v>
      </c>
      <c r="I31" s="7">
        <v>1170</v>
      </c>
      <c r="J31" s="7"/>
      <c r="K31" s="7">
        <f>Table2345345687911121514161718192021222324252627283456789101134567891011126[[#This Row],[Account Transfer]]-Table2345345687911121514161718192021222324252627283456789101134567891011126[[#This Row],[Expense Online]]</f>
        <v>12900</v>
      </c>
      <c r="L31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-346.5</v>
      </c>
      <c r="M31" s="7">
        <f>Table2345345687911121514161718192021222324252627283456789101134567891011126[[#This Row],[Cash]]-Table2345345687911121514161718192021222324252627283456789101134567891011126[[#This Row],[Expense]]</f>
        <v>5535</v>
      </c>
      <c r="O31" s="10">
        <f t="shared" si="20"/>
        <v>45617</v>
      </c>
      <c r="P31" s="11">
        <f t="shared" si="26"/>
        <v>2114</v>
      </c>
      <c r="Q31" s="11">
        <f t="shared" si="27"/>
        <v>6342</v>
      </c>
      <c r="R31" s="11">
        <f t="shared" si="21"/>
        <v>14798</v>
      </c>
      <c r="S31" s="11">
        <f t="shared" si="25"/>
        <v>21140</v>
      </c>
      <c r="T31" s="11">
        <f t="shared" si="22"/>
        <v>5320</v>
      </c>
      <c r="U31" s="11">
        <f t="shared" si="23"/>
        <v>15820</v>
      </c>
      <c r="V31" s="11">
        <f t="shared" si="24"/>
        <v>3200</v>
      </c>
    </row>
    <row r="32" spans="1:22" x14ac:dyDescent="0.35">
      <c r="A32" s="6">
        <v>45626</v>
      </c>
      <c r="B32" s="7">
        <f>Table2345345687911121514161718192021222324252627283456789101134567891011126[[#This Row],[Profit]]-Table2345345687911121514161718192021222324252627283456789101134567891011126[[#This Row],[Mulbhag]]</f>
        <v>1882</v>
      </c>
      <c r="C32" s="43">
        <f>Table2345345687911121514161718192021222324252627283456789101134567891011126[[#This Row],[Profit]]/3</f>
        <v>941</v>
      </c>
      <c r="D32" s="7">
        <f t="shared" si="0"/>
        <v>2823</v>
      </c>
      <c r="E32" s="7">
        <f t="shared" si="1"/>
        <v>6587</v>
      </c>
      <c r="F32" s="7">
        <f t="shared" si="2"/>
        <v>9410</v>
      </c>
      <c r="G32" s="7">
        <v>2425</v>
      </c>
      <c r="H32" s="7">
        <v>6985</v>
      </c>
      <c r="I32" s="7">
        <v>1160</v>
      </c>
      <c r="J32" s="7"/>
      <c r="K32" s="7">
        <f>Table2345345687911121514161718192021222324252627283456789101134567891011126[[#This Row],[Account Transfer]]-Table2345345687911121514161718192021222324252627283456789101134567891011126[[#This Row],[Expense Online]]</f>
        <v>6985</v>
      </c>
      <c r="L32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-1558</v>
      </c>
      <c r="M32" s="7">
        <f>Table2345345687911121514161718192021222324252627283456789101134567891011126[[#This Row],[Cash]]-Table2345345687911121514161718192021222324252627283456789101134567891011126[[#This Row],[Expense]]</f>
        <v>1265</v>
      </c>
      <c r="O32" s="12" t="s">
        <v>3</v>
      </c>
      <c r="P32" s="12">
        <f>SUM(P25:P31)</f>
        <v>14116.8</v>
      </c>
      <c r="Q32" s="11">
        <f t="shared" ref="Q32:V32" si="28">SUM(Q25:Q31)</f>
        <v>42350.400000000001</v>
      </c>
      <c r="R32" s="11">
        <f t="shared" si="28"/>
        <v>98817.600000000006</v>
      </c>
      <c r="S32" s="11">
        <f>SUM(S25:S31)</f>
        <v>141168</v>
      </c>
      <c r="T32" s="11">
        <f t="shared" si="28"/>
        <v>67635</v>
      </c>
      <c r="U32" s="11">
        <f t="shared" si="28"/>
        <v>73533</v>
      </c>
      <c r="V32" s="11">
        <f t="shared" si="28"/>
        <v>17785</v>
      </c>
    </row>
    <row r="33" spans="1:22" x14ac:dyDescent="0.35">
      <c r="A33" s="6">
        <v>45627</v>
      </c>
      <c r="B33" s="7">
        <f>Table2345345687911121514161718192021222324252627283456789101134567891011126[[#This Row],[Profit]]-Table2345345687911121514161718192021222324252627283456789101134567891011126[[#This Row],[Mulbhag]]</f>
        <v>0</v>
      </c>
      <c r="C33" s="43">
        <f>Table2345345687911121514161718192021222324252627283456789101134567891011126[[#This Row],[Profit]]/3</f>
        <v>0</v>
      </c>
      <c r="D33" s="7">
        <f t="shared" si="0"/>
        <v>0</v>
      </c>
      <c r="E33" s="7">
        <f t="shared" si="1"/>
        <v>0</v>
      </c>
      <c r="F33" s="7">
        <f t="shared" si="2"/>
        <v>0</v>
      </c>
      <c r="G33" s="7"/>
      <c r="H33" s="7"/>
      <c r="I33" s="7"/>
      <c r="J33" s="7"/>
      <c r="K33" s="7">
        <f>Table2345345687911121514161718192021222324252627283456789101134567891011126[[#This Row],[Account Transfer]]-Table2345345687911121514161718192021222324252627283456789101134567891011126[[#This Row],[Expense Online]]</f>
        <v>0</v>
      </c>
      <c r="L33" s="7">
        <f>Table2345345687911121514161718192021222324252627283456789101134567891011126[[#This Row],[Cash]]-Table2345345687911121514161718192021222324252627283456789101134567891011126[[#This Row],[Mulbhag]]-Table2345345687911121514161718192021222324252627283456789101134567891011126[[#This Row],[Actual Profit]]-Table2345345687911121514161718192021222324252627283456789101134567891011126[[#This Row],[Expense]]</f>
        <v>0</v>
      </c>
      <c r="M33" s="7">
        <f>Table2345345687911121514161718192021222324252627283456789101134567891011126[[#This Row],[Cash]]-Table2345345687911121514161718192021222324252627283456789101134567891011126[[#This Row],[Expense]]</f>
        <v>0</v>
      </c>
      <c r="O33" s="12" t="s">
        <v>7</v>
      </c>
      <c r="P33" s="9"/>
      <c r="Q33" s="9">
        <f>Q32/3</f>
        <v>14116.800000000001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SUBTOTAL(109,Table2345345687911121514161718192021222324252627283456789101134567891011126[Actual Profit])</f>
        <v>149492.40000000002</v>
      </c>
      <c r="C34" s="16">
        <f>SUBTOTAL(109,Table2345345687911121514161718192021222324252627283456789101134567891011126[Mulbhag])</f>
        <v>74746.200000000012</v>
      </c>
      <c r="D34" s="16">
        <f>SUBTOTAL(109,Table2345345687911121514161718192021222324252627283456789101134567891011126[Profit])</f>
        <v>224238.6</v>
      </c>
      <c r="E34" s="16">
        <f>SUBTOTAL(109,Table2345345687911121514161718192021222324252627283456789101134567891011126[Actual])</f>
        <v>523223.4</v>
      </c>
      <c r="F34" s="16">
        <f>SUBTOTAL(109,Table2345345687911121514161718192021222324252627283456789101134567891011126[Total])</f>
        <v>747462</v>
      </c>
      <c r="G34" s="16">
        <f>SUBTOTAL(109,Table2345345687911121514161718192021222324252627283456789101134567891011126[Profit])</f>
        <v>224238.6</v>
      </c>
      <c r="H34" s="16">
        <f>SUBTOTAL(109,Table2345345687911121514161718192021222324252627283456789101134567891011126[Profit])</f>
        <v>224238.6</v>
      </c>
      <c r="I34" s="16">
        <f>SUM(I5:I33)</f>
        <v>56850</v>
      </c>
      <c r="J34" s="16">
        <f>SUBTOTAL(109,Table2345345687911121514161718192021222324252627283456789101134567891011126[Expense Online])</f>
        <v>2110</v>
      </c>
      <c r="K34" s="16">
        <f>SUBTOTAL(109,Table2345345687911121514161718192021222324252627283456789101134567891011126[Account Balance])</f>
        <v>401617</v>
      </c>
      <c r="L34" s="16">
        <f>SUM(L5:L33)</f>
        <v>63082</v>
      </c>
      <c r="M34" s="16">
        <f>SUBTOTAL(109,Table2345345687911121514161718192021222324252627283456789101134567891011126[Actual Balance])</f>
        <v>286365</v>
      </c>
    </row>
    <row r="35" spans="1:22" x14ac:dyDescent="0.35">
      <c r="A35" s="17"/>
      <c r="B35" s="18"/>
      <c r="C35" s="49"/>
      <c r="D35" s="18"/>
      <c r="E35" s="18"/>
      <c r="F35" s="18"/>
      <c r="G35" s="18"/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49"/>
      <c r="D36" s="18"/>
      <c r="E36" s="18"/>
      <c r="F36" s="18"/>
      <c r="G36" s="18"/>
      <c r="H36" s="18"/>
      <c r="I36" s="18"/>
      <c r="J36" s="18"/>
      <c r="K36" s="18"/>
      <c r="L36" s="18"/>
      <c r="M36" s="18"/>
      <c r="O36" s="8">
        <f t="shared" ref="O36:O40" si="29">A24</f>
        <v>45618</v>
      </c>
      <c r="P36" s="11">
        <f>Q36/3</f>
        <v>3496.8999999999996</v>
      </c>
      <c r="Q36" s="11">
        <f>S36*0.3</f>
        <v>10490.699999999999</v>
      </c>
      <c r="R36" s="11">
        <f t="shared" ref="R36:R41" si="30">S36-Q36</f>
        <v>24478.300000000003</v>
      </c>
      <c r="S36" s="11">
        <f>T36+U36</f>
        <v>34969</v>
      </c>
      <c r="T36" s="11">
        <f t="shared" ref="T36:T41" si="31">VLOOKUP(O36,$A$1:$J$34,7,0)</f>
        <v>32689</v>
      </c>
      <c r="U36" s="11">
        <f t="shared" ref="U36:U41" si="32">VLOOKUP(O36,$A$1:$J$34,8,0)</f>
        <v>2280</v>
      </c>
      <c r="V36" s="11">
        <f t="shared" ref="V36:V41" si="33">VLOOKUP(O36,$A$1:$J$34,9,0)</f>
        <v>4340</v>
      </c>
    </row>
    <row r="37" spans="1:22" ht="29" x14ac:dyDescent="0.35">
      <c r="A37" s="13" t="s">
        <v>0</v>
      </c>
      <c r="B37" s="41" t="s">
        <v>10</v>
      </c>
      <c r="C37" s="14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45619</v>
      </c>
      <c r="P37" s="9">
        <f>Q37/3</f>
        <v>1336</v>
      </c>
      <c r="Q37" s="9">
        <f>S37*0.3</f>
        <v>4008</v>
      </c>
      <c r="R37" s="9">
        <f t="shared" si="30"/>
        <v>9352</v>
      </c>
      <c r="S37" s="9">
        <f t="shared" ref="S37:S41" si="34">T37+U37</f>
        <v>13360</v>
      </c>
      <c r="T37" s="9">
        <f t="shared" si="31"/>
        <v>4680</v>
      </c>
      <c r="U37" s="9">
        <f t="shared" si="32"/>
        <v>8680</v>
      </c>
      <c r="V37" s="9">
        <f t="shared" si="33"/>
        <v>1200</v>
      </c>
    </row>
    <row r="38" spans="1:22" x14ac:dyDescent="0.35">
      <c r="A38" s="20" t="str">
        <f>CONCATENATE(TEXT(O3,"DD-MMM-YYY")," to ",TEXT(O9,"DD-MMM-YYYY"))</f>
        <v>01-Nov-2024 to 07-Nov-2024</v>
      </c>
      <c r="B38" s="11">
        <f>D38-C38</f>
        <v>25923</v>
      </c>
      <c r="C38" s="11">
        <f>D38/3</f>
        <v>12961.5</v>
      </c>
      <c r="D38" s="11">
        <f>Q10</f>
        <v>38884.5</v>
      </c>
      <c r="E38" s="11">
        <f t="shared" ref="E38:I38" si="35">R10</f>
        <v>90730.5</v>
      </c>
      <c r="F38" s="11">
        <f>S10</f>
        <v>129615</v>
      </c>
      <c r="G38" s="11">
        <f t="shared" si="35"/>
        <v>75106</v>
      </c>
      <c r="H38" s="11">
        <f t="shared" si="35"/>
        <v>54509</v>
      </c>
      <c r="I38" s="11">
        <f t="shared" si="35"/>
        <v>4810</v>
      </c>
      <c r="J38" s="11"/>
      <c r="K38" s="11"/>
      <c r="L38" s="11"/>
      <c r="M38" s="11"/>
      <c r="O38" s="10">
        <f t="shared" si="29"/>
        <v>45620</v>
      </c>
      <c r="P38" s="11">
        <f t="shared" ref="P38:P41" si="36">Q38/3</f>
        <v>2096.5</v>
      </c>
      <c r="Q38" s="11">
        <f t="shared" ref="Q38:Q41" si="37">S38*0.3</f>
        <v>6289.5</v>
      </c>
      <c r="R38" s="11">
        <f t="shared" si="30"/>
        <v>14675.5</v>
      </c>
      <c r="S38" s="11">
        <f t="shared" si="34"/>
        <v>20965</v>
      </c>
      <c r="T38" s="11">
        <f t="shared" si="31"/>
        <v>6000</v>
      </c>
      <c r="U38" s="11">
        <f t="shared" si="32"/>
        <v>14965</v>
      </c>
      <c r="V38" s="11">
        <f t="shared" si="33"/>
        <v>1250</v>
      </c>
    </row>
    <row r="39" spans="1:22" x14ac:dyDescent="0.35">
      <c r="A39" s="20" t="str">
        <f>CONCATENATE(TEXT(O14,"DD-MMM-YYY")," to ",TEXT(O20,"DD-MMM-YYYY"))</f>
        <v>08-Nov-2024 to 14-Nov-2024</v>
      </c>
      <c r="B39" s="9">
        <f t="shared" ref="B39:B42" si="38">D39-C39</f>
        <v>57729.8</v>
      </c>
      <c r="C39" s="9">
        <f t="shared" ref="C39:C42" si="39">D39/3</f>
        <v>28864.899999999998</v>
      </c>
      <c r="D39" s="9">
        <f>Q21</f>
        <v>86594.7</v>
      </c>
      <c r="E39" s="9">
        <f t="shared" ref="E39:I39" si="40">R21</f>
        <v>202054.3</v>
      </c>
      <c r="F39" s="9">
        <f t="shared" si="40"/>
        <v>288649</v>
      </c>
      <c r="G39" s="9">
        <f t="shared" si="40"/>
        <v>91485</v>
      </c>
      <c r="H39" s="9">
        <f t="shared" si="40"/>
        <v>197164</v>
      </c>
      <c r="I39" s="9">
        <f t="shared" si="40"/>
        <v>9210</v>
      </c>
      <c r="J39" s="9"/>
      <c r="K39" s="9"/>
      <c r="L39" s="9"/>
      <c r="M39" s="9"/>
      <c r="O39" s="8">
        <f t="shared" si="29"/>
        <v>45621</v>
      </c>
      <c r="P39" s="9">
        <f t="shared" si="36"/>
        <v>2825</v>
      </c>
      <c r="Q39" s="9">
        <f t="shared" si="37"/>
        <v>8475</v>
      </c>
      <c r="R39" s="9">
        <f t="shared" si="30"/>
        <v>19775</v>
      </c>
      <c r="S39" s="9">
        <f t="shared" si="34"/>
        <v>28250</v>
      </c>
      <c r="T39" s="9">
        <f t="shared" si="31"/>
        <v>9800</v>
      </c>
      <c r="U39" s="9">
        <f t="shared" si="32"/>
        <v>18450</v>
      </c>
      <c r="V39" s="9">
        <f t="shared" si="33"/>
        <v>3100</v>
      </c>
    </row>
    <row r="40" spans="1:22" x14ac:dyDescent="0.35">
      <c r="A40" s="20" t="str">
        <f>CONCATENATE(TEXT(O25,"DD-MMM-YYY")," to ",TEXT(O31,"DD-MMM-YYYY"))</f>
        <v>15-Nov-2024 to 21-Nov-2024</v>
      </c>
      <c r="B40" s="11">
        <f t="shared" si="38"/>
        <v>28233.599999999999</v>
      </c>
      <c r="C40" s="11">
        <f t="shared" si="39"/>
        <v>14116.800000000001</v>
      </c>
      <c r="D40" s="11">
        <f>Q32</f>
        <v>42350.400000000001</v>
      </c>
      <c r="E40" s="11">
        <f t="shared" ref="E40:I40" si="41">R32</f>
        <v>98817.600000000006</v>
      </c>
      <c r="F40" s="11">
        <f t="shared" si="41"/>
        <v>141168</v>
      </c>
      <c r="G40" s="11">
        <f t="shared" si="41"/>
        <v>67635</v>
      </c>
      <c r="H40" s="11">
        <f t="shared" si="41"/>
        <v>73533</v>
      </c>
      <c r="I40" s="11">
        <f t="shared" si="41"/>
        <v>17785</v>
      </c>
      <c r="J40" s="11"/>
      <c r="K40" s="11"/>
      <c r="L40" s="11"/>
      <c r="M40" s="11"/>
      <c r="O40" s="10">
        <f t="shared" si="29"/>
        <v>45622</v>
      </c>
      <c r="P40" s="11">
        <f t="shared" si="36"/>
        <v>1335.5</v>
      </c>
      <c r="Q40" s="11">
        <f t="shared" si="37"/>
        <v>4006.5</v>
      </c>
      <c r="R40" s="11">
        <f t="shared" si="30"/>
        <v>9348.5</v>
      </c>
      <c r="S40" s="11">
        <f t="shared" si="34"/>
        <v>13355</v>
      </c>
      <c r="T40" s="11">
        <f t="shared" si="31"/>
        <v>7655</v>
      </c>
      <c r="U40" s="11">
        <f t="shared" si="32"/>
        <v>5700</v>
      </c>
      <c r="V40" s="11">
        <f t="shared" si="33"/>
        <v>3655</v>
      </c>
    </row>
    <row r="41" spans="1:22" x14ac:dyDescent="0.35">
      <c r="A41" s="20" t="str">
        <f>CONCATENATE(TEXT(O36,"DD-MMM-YYY")," to ",TEXT(O41,"DD-MMM-YYYY"))</f>
        <v>22-Nov-2024 to 01-Dec-2024</v>
      </c>
      <c r="B41" s="9">
        <f t="shared" si="38"/>
        <v>22179.799999999996</v>
      </c>
      <c r="C41" s="9">
        <f t="shared" si="39"/>
        <v>11089.9</v>
      </c>
      <c r="D41" s="9">
        <f>Q42</f>
        <v>33269.699999999997</v>
      </c>
      <c r="E41" s="9">
        <f t="shared" ref="E41:I41" si="42">R42</f>
        <v>77629.3</v>
      </c>
      <c r="F41" s="9">
        <f t="shared" si="42"/>
        <v>110899</v>
      </c>
      <c r="G41" s="9">
        <f t="shared" si="42"/>
        <v>60824</v>
      </c>
      <c r="H41" s="9">
        <f t="shared" si="42"/>
        <v>50075</v>
      </c>
      <c r="I41" s="9">
        <f t="shared" si="42"/>
        <v>13545</v>
      </c>
      <c r="J41" s="9"/>
      <c r="K41" s="9"/>
      <c r="L41" s="9"/>
      <c r="M41" s="9"/>
      <c r="O41" s="8">
        <f>A33</f>
        <v>45627</v>
      </c>
      <c r="P41" s="9">
        <f t="shared" si="36"/>
        <v>0</v>
      </c>
      <c r="Q41" s="9">
        <f t="shared" si="37"/>
        <v>0</v>
      </c>
      <c r="R41" s="9">
        <f t="shared" si="30"/>
        <v>0</v>
      </c>
      <c r="S41" s="9">
        <f t="shared" si="34"/>
        <v>0</v>
      </c>
      <c r="T41" s="9">
        <f t="shared" si="31"/>
        <v>0</v>
      </c>
      <c r="U41" s="9">
        <f t="shared" si="32"/>
        <v>0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01-Nov-2024 to 01-Dec-2024</v>
      </c>
      <c r="B42" s="9">
        <f t="shared" si="38"/>
        <v>134066.20000000001</v>
      </c>
      <c r="C42" s="9">
        <f t="shared" si="39"/>
        <v>67033.099999999991</v>
      </c>
      <c r="D42" s="9">
        <f t="shared" ref="D42:I42" si="43">SUM(D38:D41)</f>
        <v>201099.3</v>
      </c>
      <c r="E42" s="9">
        <f t="shared" si="43"/>
        <v>469231.7</v>
      </c>
      <c r="F42" s="9">
        <f t="shared" si="43"/>
        <v>670331</v>
      </c>
      <c r="G42" s="9">
        <f t="shared" si="43"/>
        <v>295050</v>
      </c>
      <c r="H42" s="9">
        <f t="shared" si="43"/>
        <v>375281</v>
      </c>
      <c r="I42" s="9">
        <f t="shared" si="43"/>
        <v>45350</v>
      </c>
      <c r="J42" s="9"/>
      <c r="K42" s="9"/>
      <c r="L42" s="9"/>
      <c r="M42" s="9"/>
      <c r="O42" s="12" t="s">
        <v>3</v>
      </c>
      <c r="P42" s="12">
        <f t="shared" ref="P42:V42" si="44">SUM(P36:P41)</f>
        <v>11089.9</v>
      </c>
      <c r="Q42" s="11">
        <f t="shared" si="44"/>
        <v>33269.699999999997</v>
      </c>
      <c r="R42" s="9">
        <f t="shared" si="44"/>
        <v>77629.3</v>
      </c>
      <c r="S42" s="9">
        <f>SUM(S36:S41)</f>
        <v>110899</v>
      </c>
      <c r="T42" s="9">
        <f t="shared" si="44"/>
        <v>60824</v>
      </c>
      <c r="U42" s="9">
        <f t="shared" si="44"/>
        <v>50075</v>
      </c>
      <c r="V42" s="9">
        <f t="shared" si="44"/>
        <v>13545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11089.9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45601</v>
      </c>
      <c r="P47" s="9"/>
      <c r="Q47" s="9">
        <f t="shared" ref="Q47:V47" si="45">SUM(D8:D33)</f>
        <v>194187</v>
      </c>
      <c r="R47" s="9">
        <f t="shared" si="45"/>
        <v>453103</v>
      </c>
      <c r="S47" s="9">
        <f t="shared" si="45"/>
        <v>647290</v>
      </c>
      <c r="T47" s="9">
        <f t="shared" si="45"/>
        <v>290749</v>
      </c>
      <c r="U47" s="9">
        <f t="shared" si="45"/>
        <v>356541</v>
      </c>
      <c r="V47" s="9">
        <f t="shared" si="45"/>
        <v>55920</v>
      </c>
    </row>
    <row r="48" spans="1:22" x14ac:dyDescent="0.35">
      <c r="O48" s="12" t="s">
        <v>7</v>
      </c>
      <c r="P48" s="11"/>
      <c r="Q48" s="11">
        <f>Q47/3</f>
        <v>64729</v>
      </c>
      <c r="R48" s="11"/>
      <c r="S48" s="11"/>
      <c r="T48" s="11"/>
      <c r="U48" s="11"/>
      <c r="V48" s="11"/>
    </row>
  </sheetData>
  <conditionalFormatting sqref="A1:B1 D1:K1">
    <cfRule type="dataBar" priority="17">
      <dataBar>
        <cfvo type="min"/>
        <cfvo type="max"/>
        <color rgb="FF638EC6"/>
      </dataBar>
    </cfRule>
  </conditionalFormatting>
  <conditionalFormatting sqref="B37">
    <cfRule type="dataBar" priority="4">
      <dataBar>
        <cfvo type="min"/>
        <cfvo type="max"/>
        <color rgb="FF638EC6"/>
      </dataBar>
    </cfRule>
    <cfRule type="dataBar" priority="6">
      <dataBar>
        <cfvo type="min"/>
        <cfvo type="max"/>
        <color rgb="FF638EC6"/>
      </dataBar>
    </cfRule>
  </conditionalFormatting>
  <conditionalFormatting sqref="B1:M1">
    <cfRule type="dataBar" priority="7">
      <dataBar>
        <cfvo type="min"/>
        <cfvo type="max"/>
        <color rgb="FF638EC6"/>
      </dataBar>
    </cfRule>
  </conditionalFormatting>
  <conditionalFormatting sqref="C1">
    <cfRule type="dataBar" priority="1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</cfRule>
  </conditionalFormatting>
  <conditionalFormatting sqref="H37"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</conditionalFormatting>
  <conditionalFormatting sqref="I37:M37 A37 C37:G37">
    <cfRule type="dataBar" priority="10">
      <dataBar>
        <cfvo type="min"/>
        <cfvo type="max"/>
        <color rgb="FF638EC6"/>
      </dataBar>
    </cfRule>
  </conditionalFormatting>
  <conditionalFormatting sqref="J1:K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1">
      <dataBar>
        <cfvo type="min"/>
        <cfvo type="max"/>
        <color rgb="FF638EC6"/>
      </dataBar>
    </cfRule>
  </conditionalFormatting>
  <conditionalFormatting sqref="O24:V24">
    <cfRule type="dataBar" priority="14">
      <dataBar>
        <cfvo type="min"/>
        <cfvo type="max"/>
        <color rgb="FF638EC6"/>
      </dataBar>
    </cfRule>
  </conditionalFormatting>
  <conditionalFormatting sqref="O35:V35">
    <cfRule type="dataBar" priority="13">
      <dataBar>
        <cfvo type="min"/>
        <cfvo type="max"/>
        <color rgb="FF638EC6"/>
      </dataBar>
    </cfRule>
  </conditionalFormatting>
  <conditionalFormatting sqref="O46:V46">
    <cfRule type="dataBar" priority="12">
      <dataBar>
        <cfvo type="min"/>
        <cfvo type="max"/>
        <color rgb="FF638EC6"/>
      </dataBar>
    </cfRule>
  </conditionalFormatting>
  <conditionalFormatting sqref="P13:Q13">
    <cfRule type="dataBar" priority="9">
      <dataBar>
        <cfvo type="min"/>
        <cfvo type="max"/>
        <color rgb="FF638EC6"/>
      </dataBar>
    </cfRule>
  </conditionalFormatting>
  <conditionalFormatting sqref="R13:V13 O13">
    <cfRule type="dataBar" priority="15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9EF3-7367-4861-AC01-E152FA0CEDEA}">
  <dimension ref="A1:V48"/>
  <sheetViews>
    <sheetView zoomScale="90" zoomScaleNormal="90" workbookViewId="0">
      <pane ySplit="1" topLeftCell="A15" activePane="bottomLeft" state="frozen"/>
      <selection pane="bottomLeft" activeCell="C34" sqref="C34:F34"/>
    </sheetView>
  </sheetViews>
  <sheetFormatPr defaultColWidth="26" defaultRowHeight="14.5" x14ac:dyDescent="0.35"/>
  <cols>
    <col min="1" max="1" width="27.36328125" bestFit="1" customWidth="1"/>
    <col min="2" max="2" width="10" style="19" bestFit="1" customWidth="1"/>
    <col min="3" max="3" width="10" style="50" bestFit="1" customWidth="1"/>
    <col min="4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Table23453456879111215141617181920212223242526272834567891011345678910111267[[#This Row],[Profit]]-Table23453456879111215141617181920212223242526272834567891011345678910111267[[#This Row],[Mulbhag]]</f>
        <v>0</v>
      </c>
      <c r="C2" s="43">
        <f>Table23453456879111215141617181920212223242526272834567891011345678910111267[[#This Row],[Profit]]/3</f>
        <v>0</v>
      </c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Table23453456879111215141617181920212223242526272834567891011345678910111267[[#This Row],[Account Transfer]]-Table23453456879111215141617181920212223242526272834567891011345678910111267[[#This Row],[Expense Online]]</f>
        <v>0</v>
      </c>
      <c r="L2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0</v>
      </c>
      <c r="M2" s="7">
        <f>Table23453456879111215141617181920212223242526272834567891011345678910111267[[#This Row],[Cash]]-Table23453456879111215141617181920212223242526272834567891011345678910111267[[#This Row],[Expense]]</f>
        <v>0</v>
      </c>
      <c r="O2" s="8" t="s">
        <v>8</v>
      </c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45627</v>
      </c>
      <c r="B3" s="7">
        <f>Table23453456879111215141617181920212223242526272834567891011345678910111267[[#This Row],[Profit]]-Table23453456879111215141617181920212223242526272834567891011345678910111267[[#This Row],[Mulbhag]]</f>
        <v>1970</v>
      </c>
      <c r="C3" s="43">
        <f>Table23453456879111215141617181920212223242526272834567891011345678910111267[[#This Row],[Profit]]/3</f>
        <v>985</v>
      </c>
      <c r="D3" s="7">
        <f t="shared" si="0"/>
        <v>2955</v>
      </c>
      <c r="E3" s="7">
        <f t="shared" si="1"/>
        <v>6895</v>
      </c>
      <c r="F3" s="7">
        <f t="shared" si="2"/>
        <v>9850</v>
      </c>
      <c r="G3" s="7">
        <v>6000</v>
      </c>
      <c r="H3" s="7">
        <v>3850</v>
      </c>
      <c r="I3" s="7">
        <v>170</v>
      </c>
      <c r="J3" s="7"/>
      <c r="K3" s="7">
        <f>Table23453456879111215141617181920212223242526272834567891011345678910111267[[#This Row],[Account Transfer]]-Table23453456879111215141617181920212223242526272834567891011345678910111267[[#This Row],[Expense Online]]</f>
        <v>3850</v>
      </c>
      <c r="L3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2875</v>
      </c>
      <c r="M3" s="7">
        <f>Table23453456879111215141617181920212223242526272834567891011345678910111267[[#This Row],[Cash]]-Table23453456879111215141617181920212223242526272834567891011345678910111267[[#This Row],[Expense]]</f>
        <v>5830</v>
      </c>
      <c r="O3" s="10">
        <f t="shared" ref="O3:O9" si="3">A3</f>
        <v>45627</v>
      </c>
      <c r="P3" s="11">
        <f>Q3/3</f>
        <v>985</v>
      </c>
      <c r="Q3" s="11">
        <f>S3*0.3</f>
        <v>2955</v>
      </c>
      <c r="R3" s="11">
        <f t="shared" ref="R3:R9" si="4">S3-Q3</f>
        <v>6895</v>
      </c>
      <c r="S3" s="11">
        <f>T3+U3</f>
        <v>9850</v>
      </c>
      <c r="T3" s="11">
        <f t="shared" ref="T3:T9" si="5">VLOOKUP(O3,$A$1:$J$34,7,0)</f>
        <v>6000</v>
      </c>
      <c r="U3" s="11">
        <f t="shared" ref="U3:U9" si="6">VLOOKUP(O3,$A$1:$J$34,8,0)</f>
        <v>3850</v>
      </c>
      <c r="V3" s="11">
        <f t="shared" ref="V3:V9" si="7">VLOOKUP(O3,$A$1:$J$34,9,0)</f>
        <v>170</v>
      </c>
    </row>
    <row r="4" spans="1:22" x14ac:dyDescent="0.35">
      <c r="A4" s="6">
        <v>45628</v>
      </c>
      <c r="B4" s="7">
        <f>Table23453456879111215141617181920212223242526272834567891011345678910111267[[#This Row],[Profit]]-Table23453456879111215141617181920212223242526272834567891011345678910111267[[#This Row],[Mulbhag]]</f>
        <v>3734</v>
      </c>
      <c r="C4" s="43">
        <f>Table23453456879111215141617181920212223242526272834567891011345678910111267[[#This Row],[Profit]]/3</f>
        <v>1867</v>
      </c>
      <c r="D4" s="7">
        <f t="shared" si="0"/>
        <v>5601</v>
      </c>
      <c r="E4" s="7">
        <f t="shared" si="1"/>
        <v>13069</v>
      </c>
      <c r="F4" s="7">
        <f t="shared" si="2"/>
        <v>18670</v>
      </c>
      <c r="G4" s="7">
        <v>11000</v>
      </c>
      <c r="H4" s="7">
        <v>7670</v>
      </c>
      <c r="I4" s="7">
        <v>1380</v>
      </c>
      <c r="J4" s="7"/>
      <c r="K4" s="7">
        <f>Table23453456879111215141617181920212223242526272834567891011345678910111267[[#This Row],[Account Transfer]]-Table23453456879111215141617181920212223242526272834567891011345678910111267[[#This Row],[Expense Online]]</f>
        <v>7670</v>
      </c>
      <c r="L4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Row],[Expense]]+L3</f>
        <v>6894</v>
      </c>
      <c r="M4" s="7">
        <f>Table23453456879111215141617181920212223242526272834567891011345678910111267[[#This Row],[Cash]]-Table23453456879111215141617181920212223242526272834567891011345678910111267[[#This Row],[Expense]]</f>
        <v>9620</v>
      </c>
      <c r="O4" s="8">
        <f t="shared" si="3"/>
        <v>45628</v>
      </c>
      <c r="P4" s="9">
        <f>Q4/3</f>
        <v>1867</v>
      </c>
      <c r="Q4" s="9">
        <f>S4*0.3</f>
        <v>5601</v>
      </c>
      <c r="R4" s="9">
        <f t="shared" si="4"/>
        <v>13069</v>
      </c>
      <c r="S4" s="9">
        <f t="shared" ref="S4:S9" si="8">T4+U4</f>
        <v>18670</v>
      </c>
      <c r="T4" s="9">
        <f t="shared" si="5"/>
        <v>11000</v>
      </c>
      <c r="U4" s="9">
        <f t="shared" si="6"/>
        <v>7670</v>
      </c>
      <c r="V4" s="9">
        <f t="shared" si="7"/>
        <v>1380</v>
      </c>
    </row>
    <row r="5" spans="1:22" x14ac:dyDescent="0.35">
      <c r="A5" s="6">
        <v>45629</v>
      </c>
      <c r="B5" s="7">
        <f>Table23453456879111215141617181920212223242526272834567891011345678910111267[[#This Row],[Profit]]-Table23453456879111215141617181920212223242526272834567891011345678910111267[[#This Row],[Mulbhag]]</f>
        <v>1210</v>
      </c>
      <c r="C5" s="43">
        <f>Table23453456879111215141617181920212223242526272834567891011345678910111267[[#This Row],[Profit]]/3</f>
        <v>605</v>
      </c>
      <c r="D5" s="7">
        <f t="shared" si="0"/>
        <v>1815</v>
      </c>
      <c r="E5" s="7">
        <f t="shared" si="1"/>
        <v>4235</v>
      </c>
      <c r="F5" s="7">
        <f t="shared" si="2"/>
        <v>6050</v>
      </c>
      <c r="G5" s="7">
        <v>3500</v>
      </c>
      <c r="H5" s="7">
        <v>2550</v>
      </c>
      <c r="I5" s="7">
        <v>180</v>
      </c>
      <c r="J5" s="7"/>
      <c r="K5" s="7">
        <f>Table23453456879111215141617181920212223242526272834567891011345678910111267[[#This Row],[Account Transfer]]-Table23453456879111215141617181920212223242526272834567891011345678910111267[[#This Row],[Expense Online]]</f>
        <v>2550</v>
      </c>
      <c r="L5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1505</v>
      </c>
      <c r="M5" s="7">
        <f>Table23453456879111215141617181920212223242526272834567891011345678910111267[[#This Row],[Cash]]-Table23453456879111215141617181920212223242526272834567891011345678910111267[[#This Row],[Expense]]</f>
        <v>3320</v>
      </c>
      <c r="O5" s="10">
        <f t="shared" si="3"/>
        <v>45629</v>
      </c>
      <c r="P5" s="11">
        <f t="shared" ref="P5:P9" si="9">Q5/3</f>
        <v>605</v>
      </c>
      <c r="Q5" s="11">
        <f t="shared" ref="Q5:Q9" si="10">S5*0.3</f>
        <v>1815</v>
      </c>
      <c r="R5" s="11">
        <f t="shared" si="4"/>
        <v>4235</v>
      </c>
      <c r="S5" s="11">
        <f t="shared" si="8"/>
        <v>6050</v>
      </c>
      <c r="T5" s="11">
        <f t="shared" si="5"/>
        <v>3500</v>
      </c>
      <c r="U5" s="11">
        <f t="shared" si="6"/>
        <v>2550</v>
      </c>
      <c r="V5" s="11">
        <f t="shared" si="7"/>
        <v>180</v>
      </c>
    </row>
    <row r="6" spans="1:22" x14ac:dyDescent="0.35">
      <c r="A6" s="6">
        <v>45630</v>
      </c>
      <c r="B6" s="7">
        <f>Table23453456879111215141617181920212223242526272834567891011345678910111267[[#This Row],[Profit]]-Table23453456879111215141617181920212223242526272834567891011345678910111267[[#This Row],[Mulbhag]]</f>
        <v>1826.4</v>
      </c>
      <c r="C6" s="43">
        <f>Table23453456879111215141617181920212223242526272834567891011345678910111267[[#This Row],[Profit]]/3</f>
        <v>913.19999999999993</v>
      </c>
      <c r="D6" s="7">
        <f t="shared" si="0"/>
        <v>2739.6</v>
      </c>
      <c r="E6" s="7">
        <f t="shared" si="1"/>
        <v>6392.4</v>
      </c>
      <c r="F6" s="7">
        <f t="shared" si="2"/>
        <v>9132</v>
      </c>
      <c r="G6" s="7">
        <v>1991</v>
      </c>
      <c r="H6" s="7">
        <v>7141</v>
      </c>
      <c r="I6" s="7">
        <v>9560</v>
      </c>
      <c r="J6" s="7">
        <v>1780</v>
      </c>
      <c r="K6" s="7">
        <f>Table23453456879111215141617181920212223242526272834567891011345678910111267[[#This Row],[Account Transfer]]-Table23453456879111215141617181920212223242526272834567891011345678910111267[[#This Row],[Expense Online]]</f>
        <v>5361</v>
      </c>
      <c r="L6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-10308.6</v>
      </c>
      <c r="M6" s="7">
        <f>Table23453456879111215141617181920212223242526272834567891011345678910111267[[#This Row],[Cash]]-Table23453456879111215141617181920212223242526272834567891011345678910111267[[#This Row],[Expense]]</f>
        <v>-7569</v>
      </c>
      <c r="O6" s="8">
        <f t="shared" si="3"/>
        <v>45630</v>
      </c>
      <c r="P6" s="9">
        <f t="shared" si="9"/>
        <v>913.19999999999993</v>
      </c>
      <c r="Q6" s="9">
        <f t="shared" si="10"/>
        <v>2739.6</v>
      </c>
      <c r="R6" s="9">
        <f t="shared" si="4"/>
        <v>6392.4</v>
      </c>
      <c r="S6" s="9">
        <f t="shared" si="8"/>
        <v>9132</v>
      </c>
      <c r="T6" s="9">
        <f t="shared" si="5"/>
        <v>1991</v>
      </c>
      <c r="U6" s="9">
        <f t="shared" si="6"/>
        <v>7141</v>
      </c>
      <c r="V6" s="9">
        <f t="shared" si="7"/>
        <v>9560</v>
      </c>
    </row>
    <row r="7" spans="1:22" x14ac:dyDescent="0.35">
      <c r="A7" s="6">
        <v>45631</v>
      </c>
      <c r="B7" s="7">
        <f>Table23453456879111215141617181920212223242526272834567891011345678910111267[[#This Row],[Profit]]-Table23453456879111215141617181920212223242526272834567891011345678910111267[[#This Row],[Mulbhag]]</f>
        <v>727</v>
      </c>
      <c r="C7" s="43">
        <f>Table23453456879111215141617181920212223242526272834567891011345678910111267[[#This Row],[Profit]]/3</f>
        <v>363.5</v>
      </c>
      <c r="D7" s="7">
        <f t="shared" si="0"/>
        <v>1090.5</v>
      </c>
      <c r="E7" s="7">
        <f t="shared" si="1"/>
        <v>2544.5</v>
      </c>
      <c r="F7" s="7">
        <f t="shared" si="2"/>
        <v>3635</v>
      </c>
      <c r="G7" s="7">
        <v>1485</v>
      </c>
      <c r="H7" s="7">
        <v>2150</v>
      </c>
      <c r="I7" s="7">
        <v>3065</v>
      </c>
      <c r="J7" s="7"/>
      <c r="K7" s="7">
        <f>Table23453456879111215141617181920212223242526272834567891011345678910111267[[#This Row],[Account Transfer]]-Table23453456879111215141617181920212223242526272834567891011345678910111267[[#This Row],[Expense Online]]</f>
        <v>2150</v>
      </c>
      <c r="L7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-2670.5</v>
      </c>
      <c r="M7" s="7">
        <f>Table23453456879111215141617181920212223242526272834567891011345678910111267[[#This Row],[Cash]]-Table23453456879111215141617181920212223242526272834567891011345678910111267[[#This Row],[Expense]]</f>
        <v>-1580</v>
      </c>
      <c r="O7" s="10">
        <f t="shared" si="3"/>
        <v>45631</v>
      </c>
      <c r="P7" s="11">
        <f t="shared" si="9"/>
        <v>363.5</v>
      </c>
      <c r="Q7" s="11">
        <f t="shared" si="10"/>
        <v>1090.5</v>
      </c>
      <c r="R7" s="11">
        <f t="shared" si="4"/>
        <v>2544.5</v>
      </c>
      <c r="S7" s="11">
        <f t="shared" si="8"/>
        <v>3635</v>
      </c>
      <c r="T7" s="11">
        <f t="shared" si="5"/>
        <v>1485</v>
      </c>
      <c r="U7" s="11">
        <f t="shared" si="6"/>
        <v>2150</v>
      </c>
      <c r="V7" s="11">
        <f t="shared" si="7"/>
        <v>3065</v>
      </c>
    </row>
    <row r="8" spans="1:22" x14ac:dyDescent="0.35">
      <c r="A8" s="6">
        <v>45632</v>
      </c>
      <c r="B8" s="7">
        <f>Table23453456879111215141617181920212223242526272834567891011345678910111267[[#This Row],[Profit]]-Table23453456879111215141617181920212223242526272834567891011345678910111267[[#This Row],[Mulbhag]]</f>
        <v>2992</v>
      </c>
      <c r="C8" s="43">
        <f>Table23453456879111215141617181920212223242526272834567891011345678910111267[[#This Row],[Profit]]/3</f>
        <v>1496</v>
      </c>
      <c r="D8" s="7">
        <f t="shared" si="0"/>
        <v>4488</v>
      </c>
      <c r="E8" s="7">
        <f t="shared" si="1"/>
        <v>10472</v>
      </c>
      <c r="F8" s="7">
        <f t="shared" si="2"/>
        <v>14960</v>
      </c>
      <c r="G8" s="7">
        <v>9800</v>
      </c>
      <c r="H8" s="7">
        <v>5160</v>
      </c>
      <c r="I8" s="7">
        <v>1160</v>
      </c>
      <c r="J8" s="7"/>
      <c r="K8" s="7">
        <f>Table23453456879111215141617181920212223242526272834567891011345678910111267[[#This Row],[Account Transfer]]-Table23453456879111215141617181920212223242526272834567891011345678910111267[[#This Row],[Expense Online]]</f>
        <v>5160</v>
      </c>
      <c r="L8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4152</v>
      </c>
      <c r="M8" s="7">
        <f>Table23453456879111215141617181920212223242526272834567891011345678910111267[[#This Row],[Cash]]-Table23453456879111215141617181920212223242526272834567891011345678910111267[[#This Row],[Expense]]</f>
        <v>8640</v>
      </c>
      <c r="O8" s="8">
        <f t="shared" si="3"/>
        <v>45632</v>
      </c>
      <c r="P8" s="9">
        <f t="shared" si="9"/>
        <v>1496</v>
      </c>
      <c r="Q8" s="9">
        <f t="shared" si="10"/>
        <v>4488</v>
      </c>
      <c r="R8" s="9">
        <f t="shared" si="4"/>
        <v>10472</v>
      </c>
      <c r="S8" s="9">
        <f t="shared" si="8"/>
        <v>14960</v>
      </c>
      <c r="T8" s="9">
        <f t="shared" si="5"/>
        <v>9800</v>
      </c>
      <c r="U8" s="9">
        <f t="shared" si="6"/>
        <v>5160</v>
      </c>
      <c r="V8" s="9">
        <f t="shared" si="7"/>
        <v>1160</v>
      </c>
    </row>
    <row r="9" spans="1:22" x14ac:dyDescent="0.35">
      <c r="A9" s="6">
        <v>45633</v>
      </c>
      <c r="B9" s="7">
        <f>Table23453456879111215141617181920212223242526272834567891011345678910111267[[#This Row],[Profit]]-Table23453456879111215141617181920212223242526272834567891011345678910111267[[#This Row],[Mulbhag]]</f>
        <v>3047.5999999999995</v>
      </c>
      <c r="C9" s="43">
        <f>Table23453456879111215141617181920212223242526272834567891011345678910111267[[#This Row],[Profit]]/3</f>
        <v>1523.8</v>
      </c>
      <c r="D9" s="7">
        <f t="shared" si="0"/>
        <v>4571.3999999999996</v>
      </c>
      <c r="E9" s="7">
        <f t="shared" si="1"/>
        <v>10666.6</v>
      </c>
      <c r="F9" s="7">
        <f t="shared" si="2"/>
        <v>15238</v>
      </c>
      <c r="G9" s="7">
        <v>7800</v>
      </c>
      <c r="H9" s="7">
        <v>7438</v>
      </c>
      <c r="I9" s="7">
        <v>1961</v>
      </c>
      <c r="J9" s="7"/>
      <c r="K9" s="7">
        <f>Table23453456879111215141617181920212223242526272834567891011345678910111267[[#This Row],[Account Transfer]]-Table23453456879111215141617181920212223242526272834567891011345678910111267[[#This Row],[Expense Online]]</f>
        <v>7438</v>
      </c>
      <c r="L9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1267.6000000000004</v>
      </c>
      <c r="M9" s="7">
        <f>Table23453456879111215141617181920212223242526272834567891011345678910111267[[#This Row],[Cash]]-Table23453456879111215141617181920212223242526272834567891011345678910111267[[#This Row],[Expense]]</f>
        <v>5839</v>
      </c>
      <c r="O9" s="10">
        <f t="shared" si="3"/>
        <v>45633</v>
      </c>
      <c r="P9" s="11">
        <f t="shared" si="9"/>
        <v>1523.8</v>
      </c>
      <c r="Q9" s="11">
        <f t="shared" si="10"/>
        <v>4571.3999999999996</v>
      </c>
      <c r="R9" s="11">
        <f t="shared" si="4"/>
        <v>10666.6</v>
      </c>
      <c r="S9" s="11">
        <f t="shared" si="8"/>
        <v>15238</v>
      </c>
      <c r="T9" s="11">
        <f t="shared" si="5"/>
        <v>7800</v>
      </c>
      <c r="U9" s="11">
        <f t="shared" si="6"/>
        <v>7438</v>
      </c>
      <c r="V9" s="11">
        <f t="shared" si="7"/>
        <v>1961</v>
      </c>
    </row>
    <row r="10" spans="1:22" x14ac:dyDescent="0.35">
      <c r="A10" s="6">
        <v>45634</v>
      </c>
      <c r="B10" s="7">
        <f>Table23453456879111215141617181920212223242526272834567891011345678910111267[[#This Row],[Profit]]-Table23453456879111215141617181920212223242526272834567891011345678910111267[[#This Row],[Mulbhag]]</f>
        <v>6542</v>
      </c>
      <c r="C10" s="43">
        <f>Table23453456879111215141617181920212223242526272834567891011345678910111267[[#This Row],[Profit]]/3</f>
        <v>3271</v>
      </c>
      <c r="D10" s="7">
        <f t="shared" si="0"/>
        <v>9813</v>
      </c>
      <c r="E10" s="7">
        <f t="shared" si="1"/>
        <v>22897</v>
      </c>
      <c r="F10" s="7">
        <f t="shared" si="2"/>
        <v>32710</v>
      </c>
      <c r="G10" s="7">
        <v>15000</v>
      </c>
      <c r="H10" s="7">
        <v>17710</v>
      </c>
      <c r="I10" s="7">
        <v>1000</v>
      </c>
      <c r="J10" s="7">
        <v>32570</v>
      </c>
      <c r="K10" s="7">
        <f>Table23453456879111215141617181920212223242526272834567891011345678910111267[[#This Row],[Account Transfer]]-Table23453456879111215141617181920212223242526272834567891011345678910111267[[#This Row],[Expense Online]]</f>
        <v>-14860</v>
      </c>
      <c r="L10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4187</v>
      </c>
      <c r="M10" s="7">
        <f>Table23453456879111215141617181920212223242526272834567891011345678910111267[[#This Row],[Cash]]-Table23453456879111215141617181920212223242526272834567891011345678910111267[[#This Row],[Expense]]</f>
        <v>14000</v>
      </c>
      <c r="O10" s="12" t="s">
        <v>3</v>
      </c>
      <c r="P10" s="12">
        <f>SUM(P3:P9)</f>
        <v>7753.5</v>
      </c>
      <c r="Q10" s="12">
        <f>SUM(Q3:Q9)</f>
        <v>23260.5</v>
      </c>
      <c r="R10" s="12">
        <f>SUM(R2:R9)</f>
        <v>54274.5</v>
      </c>
      <c r="S10" s="12">
        <f>SUM(S2:S9)</f>
        <v>77535</v>
      </c>
      <c r="T10" s="12">
        <f>SUM(T2:T9)</f>
        <v>41576</v>
      </c>
      <c r="U10" s="12">
        <f>SUM(U2:U9)</f>
        <v>35959</v>
      </c>
      <c r="V10" s="12">
        <f>SUM(V2:V9)</f>
        <v>17476</v>
      </c>
    </row>
    <row r="11" spans="1:22" x14ac:dyDescent="0.35">
      <c r="A11" s="6">
        <v>45635</v>
      </c>
      <c r="B11" s="7">
        <f>Table23453456879111215141617181920212223242526272834567891011345678910111267[[#This Row],[Profit]]-Table23453456879111215141617181920212223242526272834567891011345678910111267[[#This Row],[Mulbhag]]</f>
        <v>3608</v>
      </c>
      <c r="C11" s="43">
        <f>Table23453456879111215141617181920212223242526272834567891011345678910111267[[#This Row],[Profit]]/3</f>
        <v>1804</v>
      </c>
      <c r="D11" s="7">
        <f t="shared" si="0"/>
        <v>5412</v>
      </c>
      <c r="E11" s="7">
        <f t="shared" si="1"/>
        <v>12628</v>
      </c>
      <c r="F11" s="7">
        <f t="shared" si="2"/>
        <v>18040</v>
      </c>
      <c r="G11" s="7">
        <v>9400</v>
      </c>
      <c r="H11" s="7">
        <v>8640</v>
      </c>
      <c r="I11" s="7">
        <v>2450</v>
      </c>
      <c r="J11" s="7">
        <v>17068</v>
      </c>
      <c r="K11" s="7">
        <f>Table23453456879111215141617181920212223242526272834567891011345678910111267[[#This Row],[Account Transfer]]-Table23453456879111215141617181920212223242526272834567891011345678910111267[[#This Row],[Expense Online]]</f>
        <v>-8428</v>
      </c>
      <c r="L11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1538</v>
      </c>
      <c r="M11" s="7">
        <f>Table23453456879111215141617181920212223242526272834567891011345678910111267[[#This Row],[Cash]]-Table23453456879111215141617181920212223242526272834567891011345678910111267[[#This Row],[Expense]]</f>
        <v>6950</v>
      </c>
      <c r="O11" s="12" t="s">
        <v>7</v>
      </c>
      <c r="P11" s="12"/>
      <c r="Q11" s="12">
        <f>Q10/3</f>
        <v>7753.5</v>
      </c>
      <c r="R11" s="12"/>
      <c r="S11" s="12"/>
      <c r="T11" s="11"/>
      <c r="U11" s="11"/>
      <c r="V11" s="11"/>
    </row>
    <row r="12" spans="1:22" x14ac:dyDescent="0.35">
      <c r="A12" s="6">
        <v>45636</v>
      </c>
      <c r="B12" s="7">
        <f>Table23453456879111215141617181920212223242526272834567891011345678910111267[[#This Row],[Profit]]-Table23453456879111215141617181920212223242526272834567891011345678910111267[[#This Row],[Mulbhag]]</f>
        <v>6373.7999999999993</v>
      </c>
      <c r="C12" s="43">
        <f>Table23453456879111215141617181920212223242526272834567891011345678910111267[[#This Row],[Profit]]/3</f>
        <v>3186.8999999999996</v>
      </c>
      <c r="D12" s="7">
        <f t="shared" si="0"/>
        <v>9560.6999999999989</v>
      </c>
      <c r="E12" s="7">
        <f t="shared" si="1"/>
        <v>22308.300000000003</v>
      </c>
      <c r="F12" s="7">
        <f t="shared" si="2"/>
        <v>31869</v>
      </c>
      <c r="G12" s="7">
        <v>4450</v>
      </c>
      <c r="H12" s="7">
        <v>27419</v>
      </c>
      <c r="I12" s="7">
        <v>3160</v>
      </c>
      <c r="J12" s="7">
        <v>79305</v>
      </c>
      <c r="K12" s="7">
        <f>Table23453456879111215141617181920212223242526272834567891011345678910111267[[#This Row],[Account Transfer]]-Table23453456879111215141617181920212223242526272834567891011345678910111267[[#This Row],[Expense Online]]</f>
        <v>-51886</v>
      </c>
      <c r="L12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-8270.6999999999989</v>
      </c>
      <c r="M12" s="7">
        <f>Table23453456879111215141617181920212223242526272834567891011345678910111267[[#This Row],[Cash]]-Table23453456879111215141617181920212223242526272834567891011345678910111267[[#This Row],[Expense]]</f>
        <v>1290</v>
      </c>
    </row>
    <row r="13" spans="1:22" x14ac:dyDescent="0.35">
      <c r="A13" s="6">
        <v>45637</v>
      </c>
      <c r="B13" s="7">
        <f>Table23453456879111215141617181920212223242526272834567891011345678910111267[[#This Row],[Profit]]-Table23453456879111215141617181920212223242526272834567891011345678910111267[[#This Row],[Mulbhag]]</f>
        <v>13470</v>
      </c>
      <c r="C13" s="43">
        <f>Table23453456879111215141617181920212223242526272834567891011345678910111267[[#This Row],[Profit]]/3</f>
        <v>6735</v>
      </c>
      <c r="D13" s="7">
        <f t="shared" si="0"/>
        <v>20205</v>
      </c>
      <c r="E13" s="7">
        <f t="shared" si="1"/>
        <v>47145</v>
      </c>
      <c r="F13" s="7">
        <f t="shared" si="2"/>
        <v>67350</v>
      </c>
      <c r="G13" s="7">
        <v>52930</v>
      </c>
      <c r="H13" s="7">
        <v>14420</v>
      </c>
      <c r="I13" s="7">
        <v>11170</v>
      </c>
      <c r="J13" s="7">
        <v>43515</v>
      </c>
      <c r="K13" s="7">
        <f>Table23453456879111215141617181920212223242526272834567891011345678910111267[[#This Row],[Account Transfer]]-Table23453456879111215141617181920212223242526272834567891011345678910111267[[#This Row],[Expense Online]]</f>
        <v>-29095</v>
      </c>
      <c r="L13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21555</v>
      </c>
      <c r="M13" s="7">
        <f>Table23453456879111215141617181920212223242526272834567891011345678910111267[[#This Row],[Cash]]-Table23453456879111215141617181920212223242526272834567891011345678910111267[[#This Row],[Expense]]</f>
        <v>41760</v>
      </c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45638</v>
      </c>
      <c r="B14" s="7">
        <f>Table23453456879111215141617181920212223242526272834567891011345678910111267[[#This Row],[Profit]]-Table23453456879111215141617181920212223242526272834567891011345678910111267[[#This Row],[Mulbhag]]</f>
        <v>7543</v>
      </c>
      <c r="C14" s="43">
        <f>Table23453456879111215141617181920212223242526272834567891011345678910111267[[#This Row],[Profit]]/3</f>
        <v>3771.5</v>
      </c>
      <c r="D14" s="7">
        <f t="shared" si="0"/>
        <v>11314.5</v>
      </c>
      <c r="E14" s="7">
        <f t="shared" si="1"/>
        <v>26400.5</v>
      </c>
      <c r="F14" s="7">
        <f t="shared" si="2"/>
        <v>37715</v>
      </c>
      <c r="G14" s="7">
        <v>2000</v>
      </c>
      <c r="H14" s="7">
        <v>35715</v>
      </c>
      <c r="I14" s="7">
        <v>23110</v>
      </c>
      <c r="J14" s="7">
        <v>3670</v>
      </c>
      <c r="K14" s="7">
        <f>Table23453456879111215141617181920212223242526272834567891011345678910111267[[#This Row],[Account Transfer]]-Table23453456879111215141617181920212223242526272834567891011345678910111267[[#This Row],[Expense Online]]</f>
        <v>32045</v>
      </c>
      <c r="L14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-32424.5</v>
      </c>
      <c r="M14" s="7">
        <f>Table23453456879111215141617181920212223242526272834567891011345678910111267[[#This Row],[Cash]]-Table23453456879111215141617181920212223242526272834567891011345678910111267[[#This Row],[Expense]]</f>
        <v>-21110</v>
      </c>
      <c r="O14" s="10">
        <f t="shared" ref="O14:O20" si="11">A10</f>
        <v>45634</v>
      </c>
      <c r="P14" s="11">
        <f>Q14/3</f>
        <v>3271</v>
      </c>
      <c r="Q14" s="11">
        <f>S14*0.3</f>
        <v>9813</v>
      </c>
      <c r="R14" s="11">
        <f t="shared" ref="R14:R20" si="12">S14-Q14</f>
        <v>22897</v>
      </c>
      <c r="S14" s="11">
        <f>T14+U14</f>
        <v>32710</v>
      </c>
      <c r="T14" s="11">
        <f t="shared" ref="T14:T20" si="13">VLOOKUP(O14,$A$1:$J$34,7,0)</f>
        <v>15000</v>
      </c>
      <c r="U14" s="11">
        <f t="shared" ref="U14:U20" si="14">VLOOKUP(O14,$A$1:$J$34,8,0)</f>
        <v>17710</v>
      </c>
      <c r="V14" s="11">
        <f t="shared" ref="V14:V20" si="15">VLOOKUP(O14,$A$1:$J$34,9,0)</f>
        <v>1000</v>
      </c>
    </row>
    <row r="15" spans="1:22" x14ac:dyDescent="0.35">
      <c r="A15" s="6">
        <v>45639</v>
      </c>
      <c r="B15" s="7">
        <f>Table23453456879111215141617181920212223242526272834567891011345678910111267[[#This Row],[Profit]]-Table23453456879111215141617181920212223242526272834567891011345678910111267[[#This Row],[Mulbhag]]</f>
        <v>5291.6</v>
      </c>
      <c r="C15" s="43">
        <f>Table23453456879111215141617181920212223242526272834567891011345678910111267[[#This Row],[Profit]]/3</f>
        <v>2645.7999999999997</v>
      </c>
      <c r="D15" s="7">
        <f t="shared" si="0"/>
        <v>7937.4</v>
      </c>
      <c r="E15" s="7">
        <f t="shared" si="1"/>
        <v>18520.599999999999</v>
      </c>
      <c r="F15" s="7">
        <f t="shared" si="2"/>
        <v>26458</v>
      </c>
      <c r="G15" s="7">
        <v>12595</v>
      </c>
      <c r="H15" s="7">
        <v>13863</v>
      </c>
      <c r="I15" s="7">
        <v>5265</v>
      </c>
      <c r="J15" s="7"/>
      <c r="K15" s="7">
        <f>Table23453456879111215141617181920212223242526272834567891011345678910111267[[#This Row],[Account Transfer]]-Table23453456879111215141617181920212223242526272834567891011345678910111267[[#This Row],[Expense Online]]</f>
        <v>13863</v>
      </c>
      <c r="L15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-607.39999999999964</v>
      </c>
      <c r="M15" s="7">
        <f>Table23453456879111215141617181920212223242526272834567891011345678910111267[[#This Row],[Cash]]-Table23453456879111215141617181920212223242526272834567891011345678910111267[[#This Row],[Expense]]</f>
        <v>7330</v>
      </c>
      <c r="O15" s="8">
        <f t="shared" si="11"/>
        <v>45635</v>
      </c>
      <c r="P15" s="9">
        <f>Q15/3</f>
        <v>1804</v>
      </c>
      <c r="Q15" s="9">
        <f>S15*0.3</f>
        <v>5412</v>
      </c>
      <c r="R15" s="9">
        <f t="shared" si="12"/>
        <v>12628</v>
      </c>
      <c r="S15" s="9">
        <f t="shared" ref="S15:S20" si="16">T15+U15</f>
        <v>18040</v>
      </c>
      <c r="T15" s="9">
        <f t="shared" si="13"/>
        <v>9400</v>
      </c>
      <c r="U15" s="9">
        <f t="shared" si="14"/>
        <v>8640</v>
      </c>
      <c r="V15" s="9">
        <f t="shared" si="15"/>
        <v>2450</v>
      </c>
    </row>
    <row r="16" spans="1:22" x14ac:dyDescent="0.35">
      <c r="A16" s="6">
        <v>45640</v>
      </c>
      <c r="B16" s="7">
        <f>Table23453456879111215141617181920212223242526272834567891011345678910111267[[#This Row],[Profit]]-Table23453456879111215141617181920212223242526272834567891011345678910111267[[#This Row],[Mulbhag]]</f>
        <v>5406.1999999999989</v>
      </c>
      <c r="C16" s="43">
        <f>Table23453456879111215141617181920212223242526272834567891011345678910111267[[#This Row],[Profit]]/3</f>
        <v>2703.1</v>
      </c>
      <c r="D16" s="7">
        <f t="shared" si="0"/>
        <v>8109.2999999999993</v>
      </c>
      <c r="E16" s="7">
        <f t="shared" si="1"/>
        <v>18921.7</v>
      </c>
      <c r="F16" s="7">
        <f t="shared" si="2"/>
        <v>27031</v>
      </c>
      <c r="G16" s="7">
        <v>7290</v>
      </c>
      <c r="H16" s="7">
        <v>19741</v>
      </c>
      <c r="I16" s="7">
        <v>4645</v>
      </c>
      <c r="J16" s="7"/>
      <c r="K16" s="7">
        <f>Table23453456879111215141617181920212223242526272834567891011345678910111267[[#This Row],[Account Transfer]]-Table23453456879111215141617181920212223242526272834567891011345678910111267[[#This Row],[Expense Online]]</f>
        <v>19741</v>
      </c>
      <c r="L16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-5464.2999999999993</v>
      </c>
      <c r="M16" s="7">
        <f>Table23453456879111215141617181920212223242526272834567891011345678910111267[[#This Row],[Cash]]-Table23453456879111215141617181920212223242526272834567891011345678910111267[[#This Row],[Expense]]</f>
        <v>2645</v>
      </c>
      <c r="O16" s="10">
        <f t="shared" si="11"/>
        <v>45636</v>
      </c>
      <c r="P16" s="11">
        <f t="shared" ref="P16:P20" si="17">Q16/3</f>
        <v>3186.8999999999996</v>
      </c>
      <c r="Q16" s="11">
        <f t="shared" ref="Q16:Q20" si="18">S16*0.3</f>
        <v>9560.6999999999989</v>
      </c>
      <c r="R16" s="11">
        <f t="shared" si="12"/>
        <v>22308.300000000003</v>
      </c>
      <c r="S16" s="11">
        <f t="shared" si="16"/>
        <v>31869</v>
      </c>
      <c r="T16" s="11">
        <f t="shared" si="13"/>
        <v>4450</v>
      </c>
      <c r="U16" s="11">
        <f t="shared" si="14"/>
        <v>27419</v>
      </c>
      <c r="V16" s="11">
        <f t="shared" si="15"/>
        <v>3160</v>
      </c>
    </row>
    <row r="17" spans="1:22" x14ac:dyDescent="0.35">
      <c r="A17" s="6">
        <v>45641</v>
      </c>
      <c r="B17" s="7">
        <f>Table23453456879111215141617181920212223242526272834567891011345678910111267[[#This Row],[Profit]]-Table23453456879111215141617181920212223242526272834567891011345678910111267[[#This Row],[Mulbhag]]</f>
        <v>5260</v>
      </c>
      <c r="C17" s="43">
        <f>Table23453456879111215141617181920212223242526272834567891011345678910111267[[#This Row],[Profit]]/3</f>
        <v>2630</v>
      </c>
      <c r="D17" s="7">
        <f t="shared" si="0"/>
        <v>7890</v>
      </c>
      <c r="E17" s="7">
        <f t="shared" si="1"/>
        <v>18410</v>
      </c>
      <c r="F17" s="7">
        <f t="shared" si="2"/>
        <v>26300</v>
      </c>
      <c r="G17" s="7">
        <v>18500</v>
      </c>
      <c r="H17" s="7">
        <v>7800</v>
      </c>
      <c r="I17" s="7">
        <v>4835</v>
      </c>
      <c r="J17" s="7"/>
      <c r="K17" s="7">
        <f>Table23453456879111215141617181920212223242526272834567891011345678910111267[[#This Row],[Account Transfer]]-Table23453456879111215141617181920212223242526272834567891011345678910111267[[#This Row],[Expense Online]]</f>
        <v>7800</v>
      </c>
      <c r="L17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5775</v>
      </c>
      <c r="M17" s="7">
        <f>Table23453456879111215141617181920212223242526272834567891011345678910111267[[#This Row],[Cash]]-Table23453456879111215141617181920212223242526272834567891011345678910111267[[#This Row],[Expense]]</f>
        <v>13665</v>
      </c>
      <c r="O17" s="8">
        <f t="shared" si="11"/>
        <v>45637</v>
      </c>
      <c r="P17" s="9">
        <f t="shared" si="17"/>
        <v>6735</v>
      </c>
      <c r="Q17" s="9">
        <f t="shared" si="18"/>
        <v>20205</v>
      </c>
      <c r="R17" s="9">
        <f t="shared" si="12"/>
        <v>47145</v>
      </c>
      <c r="S17" s="9">
        <f t="shared" si="16"/>
        <v>67350</v>
      </c>
      <c r="T17" s="9">
        <f t="shared" si="13"/>
        <v>52930</v>
      </c>
      <c r="U17" s="9">
        <f t="shared" si="14"/>
        <v>14420</v>
      </c>
      <c r="V17" s="9">
        <f t="shared" si="15"/>
        <v>11170</v>
      </c>
    </row>
    <row r="18" spans="1:22" x14ac:dyDescent="0.35">
      <c r="A18" s="6">
        <v>45642</v>
      </c>
      <c r="B18" s="7">
        <f>Table23453456879111215141617181920212223242526272834567891011345678910111267[[#This Row],[Profit]]-Table23453456879111215141617181920212223242526272834567891011345678910111267[[#This Row],[Mulbhag]]</f>
        <v>7902</v>
      </c>
      <c r="C18" s="43">
        <f>Table23453456879111215141617181920212223242526272834567891011345678910111267[[#This Row],[Profit]]/3</f>
        <v>3951</v>
      </c>
      <c r="D18" s="7">
        <f t="shared" si="0"/>
        <v>11853</v>
      </c>
      <c r="E18" s="7">
        <f t="shared" si="1"/>
        <v>27657</v>
      </c>
      <c r="F18" s="7">
        <f t="shared" si="2"/>
        <v>39510</v>
      </c>
      <c r="G18" s="7">
        <v>18330</v>
      </c>
      <c r="H18" s="7">
        <v>21180</v>
      </c>
      <c r="I18" s="7">
        <v>10000</v>
      </c>
      <c r="J18" s="7">
        <v>93472</v>
      </c>
      <c r="K18" s="7">
        <f>Table23453456879111215141617181920212223242526272834567891011345678910111267[[#This Row],[Account Transfer]]-Table23453456879111215141617181920212223242526272834567891011345678910111267[[#This Row],[Expense Online]]</f>
        <v>-72292</v>
      </c>
      <c r="L18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-3523</v>
      </c>
      <c r="M18" s="7">
        <f>Table23453456879111215141617181920212223242526272834567891011345678910111267[[#This Row],[Cash]]-Table23453456879111215141617181920212223242526272834567891011345678910111267[[#This Row],[Expense]]</f>
        <v>8330</v>
      </c>
      <c r="O18" s="10">
        <f t="shared" si="11"/>
        <v>45638</v>
      </c>
      <c r="P18" s="11">
        <f t="shared" si="17"/>
        <v>3771.5</v>
      </c>
      <c r="Q18" s="11">
        <f t="shared" si="18"/>
        <v>11314.5</v>
      </c>
      <c r="R18" s="11">
        <f t="shared" si="12"/>
        <v>26400.5</v>
      </c>
      <c r="S18" s="11">
        <f t="shared" si="16"/>
        <v>37715</v>
      </c>
      <c r="T18" s="11">
        <f t="shared" si="13"/>
        <v>2000</v>
      </c>
      <c r="U18" s="11">
        <f t="shared" si="14"/>
        <v>35715</v>
      </c>
      <c r="V18" s="11">
        <f t="shared" si="15"/>
        <v>23110</v>
      </c>
    </row>
    <row r="19" spans="1:22" x14ac:dyDescent="0.35">
      <c r="A19" s="6">
        <v>45643</v>
      </c>
      <c r="B19" s="7">
        <f>Table23453456879111215141617181920212223242526272834567891011345678910111267[[#This Row],[Profit]]-Table23453456879111215141617181920212223242526272834567891011345678910111267[[#This Row],[Mulbhag]]</f>
        <v>3968</v>
      </c>
      <c r="C19" s="43">
        <f>Table23453456879111215141617181920212223242526272834567891011345678910111267[[#This Row],[Profit]]/3</f>
        <v>1984</v>
      </c>
      <c r="D19" s="7">
        <f t="shared" si="0"/>
        <v>5952</v>
      </c>
      <c r="E19" s="7">
        <f t="shared" si="1"/>
        <v>13888</v>
      </c>
      <c r="F19" s="7">
        <f t="shared" si="2"/>
        <v>19840</v>
      </c>
      <c r="G19" s="7">
        <v>1790</v>
      </c>
      <c r="H19" s="7">
        <v>18050</v>
      </c>
      <c r="I19" s="7">
        <v>1450</v>
      </c>
      <c r="J19" s="7">
        <v>3320</v>
      </c>
      <c r="K19" s="7">
        <f>Table23453456879111215141617181920212223242526272834567891011345678910111267[[#This Row],[Account Transfer]]-Table23453456879111215141617181920212223242526272834567891011345678910111267[[#This Row],[Expense Online]]</f>
        <v>14730</v>
      </c>
      <c r="L19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-5612</v>
      </c>
      <c r="M19" s="7">
        <f>Table23453456879111215141617181920212223242526272834567891011345678910111267[[#This Row],[Cash]]-Table23453456879111215141617181920212223242526272834567891011345678910111267[[#This Row],[Expense]]</f>
        <v>340</v>
      </c>
      <c r="O19" s="8">
        <f t="shared" si="11"/>
        <v>45639</v>
      </c>
      <c r="P19" s="9">
        <f t="shared" si="17"/>
        <v>2645.7999999999997</v>
      </c>
      <c r="Q19" s="9">
        <f t="shared" si="18"/>
        <v>7937.4</v>
      </c>
      <c r="R19" s="9">
        <f t="shared" si="12"/>
        <v>18520.599999999999</v>
      </c>
      <c r="S19" s="9">
        <f t="shared" si="16"/>
        <v>26458</v>
      </c>
      <c r="T19" s="9">
        <f t="shared" si="13"/>
        <v>12595</v>
      </c>
      <c r="U19" s="9">
        <f t="shared" si="14"/>
        <v>13863</v>
      </c>
      <c r="V19" s="9">
        <f t="shared" si="15"/>
        <v>5265</v>
      </c>
    </row>
    <row r="20" spans="1:22" x14ac:dyDescent="0.35">
      <c r="A20" s="6">
        <v>45644</v>
      </c>
      <c r="B20" s="7">
        <f>Table23453456879111215141617181920212223242526272834567891011345678910111267[[#This Row],[Profit]]-Table23453456879111215141617181920212223242526272834567891011345678910111267[[#This Row],[Mulbhag]]</f>
        <v>5996.7999999999993</v>
      </c>
      <c r="C20" s="43">
        <f>Table23453456879111215141617181920212223242526272834567891011345678910111267[[#This Row],[Profit]]/3</f>
        <v>2998.3999999999996</v>
      </c>
      <c r="D20" s="7">
        <f t="shared" si="0"/>
        <v>8995.1999999999989</v>
      </c>
      <c r="E20" s="7">
        <f t="shared" si="1"/>
        <v>20988.800000000003</v>
      </c>
      <c r="F20" s="7">
        <f t="shared" si="2"/>
        <v>29984</v>
      </c>
      <c r="G20" s="7">
        <v>5750</v>
      </c>
      <c r="H20" s="7">
        <v>24234</v>
      </c>
      <c r="I20" s="7">
        <v>9715</v>
      </c>
      <c r="J20" s="7"/>
      <c r="K20" s="7">
        <f>Table23453456879111215141617181920212223242526272834567891011345678910111267[[#This Row],[Account Transfer]]-Table23453456879111215141617181920212223242526272834567891011345678910111267[[#This Row],[Expense Online]]</f>
        <v>24234</v>
      </c>
      <c r="L20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-12960.199999999999</v>
      </c>
      <c r="M20" s="7">
        <f>Table23453456879111215141617181920212223242526272834567891011345678910111267[[#This Row],[Cash]]-Table23453456879111215141617181920212223242526272834567891011345678910111267[[#This Row],[Expense]]</f>
        <v>-3965</v>
      </c>
      <c r="O20" s="10">
        <f t="shared" si="11"/>
        <v>45640</v>
      </c>
      <c r="P20" s="11">
        <f t="shared" si="17"/>
        <v>2703.1</v>
      </c>
      <c r="Q20" s="11">
        <f t="shared" si="18"/>
        <v>8109.2999999999993</v>
      </c>
      <c r="R20" s="11">
        <f t="shared" si="12"/>
        <v>18921.7</v>
      </c>
      <c r="S20" s="11">
        <f t="shared" si="16"/>
        <v>27031</v>
      </c>
      <c r="T20" s="11">
        <f t="shared" si="13"/>
        <v>7290</v>
      </c>
      <c r="U20" s="11">
        <f t="shared" si="14"/>
        <v>19741</v>
      </c>
      <c r="V20" s="11">
        <f t="shared" si="15"/>
        <v>4645</v>
      </c>
    </row>
    <row r="21" spans="1:22" x14ac:dyDescent="0.35">
      <c r="A21" s="6">
        <v>45645</v>
      </c>
      <c r="B21" s="7">
        <f>Table23453456879111215141617181920212223242526272834567891011345678910111267[[#This Row],[Profit]]-Table23453456879111215141617181920212223242526272834567891011345678910111267[[#This Row],[Mulbhag]]</f>
        <v>15392.399999999998</v>
      </c>
      <c r="C21" s="43">
        <f>Table23453456879111215141617181920212223242526272834567891011345678910111267[[#This Row],[Profit]]/3</f>
        <v>7696.2</v>
      </c>
      <c r="D21" s="7">
        <f t="shared" si="0"/>
        <v>23088.6</v>
      </c>
      <c r="E21" s="7">
        <f t="shared" si="1"/>
        <v>53873.4</v>
      </c>
      <c r="F21" s="7">
        <f t="shared" si="2"/>
        <v>76962</v>
      </c>
      <c r="G21" s="7">
        <v>1340</v>
      </c>
      <c r="H21" s="7">
        <v>75622</v>
      </c>
      <c r="I21" s="7">
        <v>440</v>
      </c>
      <c r="J21" s="7">
        <v>82860</v>
      </c>
      <c r="K21" s="7">
        <f>Table23453456879111215141617181920212223242526272834567891011345678910111267[[#This Row],[Account Transfer]]-Table23453456879111215141617181920212223242526272834567891011345678910111267[[#This Row],[Expense Online]]</f>
        <v>-7238</v>
      </c>
      <c r="L21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-22188.6</v>
      </c>
      <c r="M21" s="7">
        <f>Table23453456879111215141617181920212223242526272834567891011345678910111267[[#This Row],[Cash]]-Table23453456879111215141617181920212223242526272834567891011345678910111267[[#This Row],[Expense]]</f>
        <v>900</v>
      </c>
      <c r="O21" s="12" t="s">
        <v>3</v>
      </c>
      <c r="P21" s="12">
        <f>SUM(P14:P20)</f>
        <v>24117.3</v>
      </c>
      <c r="Q21" s="12">
        <f t="shared" ref="Q21:V21" si="19">SUM(Q14:Q20)</f>
        <v>72351.899999999994</v>
      </c>
      <c r="R21" s="12">
        <f t="shared" si="19"/>
        <v>168821.1</v>
      </c>
      <c r="S21" s="12">
        <f t="shared" si="19"/>
        <v>241173</v>
      </c>
      <c r="T21" s="12">
        <f t="shared" si="19"/>
        <v>103665</v>
      </c>
      <c r="U21" s="12">
        <f t="shared" si="19"/>
        <v>137508</v>
      </c>
      <c r="V21" s="12">
        <f t="shared" si="19"/>
        <v>50800</v>
      </c>
    </row>
    <row r="22" spans="1:22" x14ac:dyDescent="0.35">
      <c r="A22" s="6">
        <v>45646</v>
      </c>
      <c r="B22" s="7">
        <f>Table23453456879111215141617181920212223242526272834567891011345678910111267[[#This Row],[Profit]]-Table23453456879111215141617181920212223242526272834567891011345678910111267[[#This Row],[Mulbhag]]</f>
        <v>4529.2000000000007</v>
      </c>
      <c r="C22" s="43">
        <f>Table23453456879111215141617181920212223242526272834567891011345678910111267[[#This Row],[Profit]]/3</f>
        <v>2264.6</v>
      </c>
      <c r="D22" s="7">
        <f t="shared" si="0"/>
        <v>6793.8</v>
      </c>
      <c r="E22" s="7">
        <f t="shared" si="1"/>
        <v>15852.2</v>
      </c>
      <c r="F22" s="7">
        <f t="shared" si="2"/>
        <v>22646</v>
      </c>
      <c r="G22" s="7">
        <v>7380</v>
      </c>
      <c r="H22" s="7">
        <v>15266</v>
      </c>
      <c r="I22" s="7">
        <v>51140</v>
      </c>
      <c r="J22" s="7">
        <v>135975</v>
      </c>
      <c r="K22" s="7">
        <f>Table23453456879111215141617181920212223242526272834567891011345678910111267[[#This Row],[Account Transfer]]-Table23453456879111215141617181920212223242526272834567891011345678910111267[[#This Row],[Expense Online]]</f>
        <v>-120709</v>
      </c>
      <c r="L22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-50553.8</v>
      </c>
      <c r="M22" s="7">
        <f>Table23453456879111215141617181920212223242526272834567891011345678910111267[[#This Row],[Cash]]-Table23453456879111215141617181920212223242526272834567891011345678910111267[[#This Row],[Expense]]</f>
        <v>-43760</v>
      </c>
      <c r="O22" s="12" t="s">
        <v>7</v>
      </c>
      <c r="P22" s="12"/>
      <c r="Q22" s="12">
        <f>Q21/3</f>
        <v>24117.3</v>
      </c>
      <c r="R22" s="12"/>
      <c r="S22" s="12">
        <f>R22+Q22</f>
        <v>24117.3</v>
      </c>
      <c r="T22" s="11"/>
      <c r="U22" s="11"/>
      <c r="V22" s="11"/>
    </row>
    <row r="23" spans="1:22" x14ac:dyDescent="0.35">
      <c r="A23" s="6">
        <v>45647</v>
      </c>
      <c r="B23" s="7">
        <f>Table23453456879111215141617181920212223242526272834567891011345678910111267[[#This Row],[Profit]]-Table23453456879111215141617181920212223242526272834567891011345678910111267[[#This Row],[Mulbhag]]</f>
        <v>10724</v>
      </c>
      <c r="C23" s="43">
        <f>Table23453456879111215141617181920212223242526272834567891011345678910111267[[#This Row],[Profit]]/3</f>
        <v>5362</v>
      </c>
      <c r="D23" s="7">
        <f t="shared" si="0"/>
        <v>16086</v>
      </c>
      <c r="E23" s="7">
        <f t="shared" si="1"/>
        <v>37534</v>
      </c>
      <c r="F23" s="7">
        <f t="shared" si="2"/>
        <v>53620</v>
      </c>
      <c r="G23" s="7">
        <v>10420</v>
      </c>
      <c r="H23" s="7">
        <v>43200</v>
      </c>
      <c r="I23" s="7">
        <v>1140</v>
      </c>
      <c r="J23" s="7"/>
      <c r="K23" s="7">
        <f>Table23453456879111215141617181920212223242526272834567891011345678910111267[[#This Row],[Account Transfer]]-Table23453456879111215141617181920212223242526272834567891011345678910111267[[#This Row],[Expense Online]]</f>
        <v>43200</v>
      </c>
      <c r="L23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-6806</v>
      </c>
      <c r="M23" s="7">
        <f>Table23453456879111215141617181920212223242526272834567891011345678910111267[[#This Row],[Cash]]-Table23453456879111215141617181920212223242526272834567891011345678910111267[[#This Row],[Expense]]</f>
        <v>9280</v>
      </c>
    </row>
    <row r="24" spans="1:22" x14ac:dyDescent="0.35">
      <c r="A24" s="6">
        <v>45648</v>
      </c>
      <c r="B24" s="7">
        <f>Table23453456879111215141617181920212223242526272834567891011345678910111267[[#This Row],[Profit]]-Table23453456879111215141617181920212223242526272834567891011345678910111267[[#This Row],[Mulbhag]]</f>
        <v>1440</v>
      </c>
      <c r="C24" s="43">
        <f>Table23453456879111215141617181920212223242526272834567891011345678910111267[[#This Row],[Profit]]/3</f>
        <v>720</v>
      </c>
      <c r="D24" s="7">
        <f t="shared" si="0"/>
        <v>2160</v>
      </c>
      <c r="E24" s="7">
        <f t="shared" si="1"/>
        <v>5040</v>
      </c>
      <c r="F24" s="7">
        <f t="shared" si="2"/>
        <v>7200</v>
      </c>
      <c r="G24" s="7">
        <v>2150</v>
      </c>
      <c r="H24" s="7">
        <v>5050</v>
      </c>
      <c r="I24" s="7">
        <v>685</v>
      </c>
      <c r="J24" s="7"/>
      <c r="K24" s="7">
        <f>Table23453456879111215141617181920212223242526272834567891011345678910111267[[#This Row],[Account Transfer]]-Table23453456879111215141617181920212223242526272834567891011345678910111267[[#This Row],[Expense Online]]</f>
        <v>5050</v>
      </c>
      <c r="L24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-695</v>
      </c>
      <c r="M24" s="7">
        <f>Table23453456879111215141617181920212223242526272834567891011345678910111267[[#This Row],[Cash]]-Table23453456879111215141617181920212223242526272834567891011345678910111267[[#This Row],[Expense]]</f>
        <v>1465</v>
      </c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45649</v>
      </c>
      <c r="B25" s="7">
        <f>Table23453456879111215141617181920212223242526272834567891011345678910111267[[#This Row],[Profit]]-Table23453456879111215141617181920212223242526272834567891011345678910111267[[#This Row],[Mulbhag]]</f>
        <v>1578</v>
      </c>
      <c r="C25" s="43">
        <f>Table23453456879111215141617181920212223242526272834567891011345678910111267[[#This Row],[Profit]]/3</f>
        <v>789</v>
      </c>
      <c r="D25" s="7">
        <f t="shared" si="0"/>
        <v>2367</v>
      </c>
      <c r="E25" s="7">
        <f t="shared" si="1"/>
        <v>5523</v>
      </c>
      <c r="F25" s="7">
        <f t="shared" si="2"/>
        <v>7890</v>
      </c>
      <c r="G25" s="7">
        <v>2720</v>
      </c>
      <c r="H25" s="7">
        <v>5170</v>
      </c>
      <c r="I25" s="7">
        <v>3120</v>
      </c>
      <c r="J25" s="7">
        <v>1500</v>
      </c>
      <c r="K25" s="7">
        <f>Table23453456879111215141617181920212223242526272834567891011345678910111267[[#This Row],[Account Transfer]]-Table23453456879111215141617181920212223242526272834567891011345678910111267[[#This Row],[Expense Online]]</f>
        <v>3670</v>
      </c>
      <c r="L25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-2767</v>
      </c>
      <c r="M25" s="7">
        <f>Table23453456879111215141617181920212223242526272834567891011345678910111267[[#This Row],[Cash]]-Table23453456879111215141617181920212223242526272834567891011345678910111267[[#This Row],[Expense]]</f>
        <v>-400</v>
      </c>
      <c r="O25" s="10">
        <f t="shared" ref="O25:O31" si="20">A17</f>
        <v>45641</v>
      </c>
      <c r="P25" s="11">
        <f>Q25/3</f>
        <v>2630</v>
      </c>
      <c r="Q25" s="11">
        <f>S25*0.3</f>
        <v>7890</v>
      </c>
      <c r="R25" s="11">
        <f t="shared" ref="R25:R31" si="21">S25-Q25</f>
        <v>18410</v>
      </c>
      <c r="S25" s="11">
        <f>T25+U25</f>
        <v>26300</v>
      </c>
      <c r="T25" s="11">
        <f t="shared" ref="T25:T31" si="22">VLOOKUP(O25,$A$1:$J$34,7,0)</f>
        <v>18500</v>
      </c>
      <c r="U25" s="11">
        <f t="shared" ref="U25:U31" si="23">VLOOKUP(O25,$A$1:$J$34,8,0)</f>
        <v>7800</v>
      </c>
      <c r="V25" s="11">
        <f t="shared" ref="V25:V31" si="24">VLOOKUP(O25,$A$1:$J$34,9,0)</f>
        <v>4835</v>
      </c>
    </row>
    <row r="26" spans="1:22" x14ac:dyDescent="0.35">
      <c r="A26" s="6">
        <v>45650</v>
      </c>
      <c r="B26" s="7">
        <f>Table23453456879111215141617181920212223242526272834567891011345678910111267[[#This Row],[Profit]]-Table23453456879111215141617181920212223242526272834567891011345678910111267[[#This Row],[Mulbhag]]</f>
        <v>473</v>
      </c>
      <c r="C26" s="43">
        <f>Table23453456879111215141617181920212223242526272834567891011345678910111267[[#This Row],[Profit]]/3</f>
        <v>236.5</v>
      </c>
      <c r="D26" s="7">
        <f t="shared" si="0"/>
        <v>709.5</v>
      </c>
      <c r="E26" s="7">
        <f t="shared" si="1"/>
        <v>1655.5</v>
      </c>
      <c r="F26" s="7">
        <f t="shared" si="2"/>
        <v>2365</v>
      </c>
      <c r="G26" s="7">
        <v>1440</v>
      </c>
      <c r="H26" s="7">
        <v>925</v>
      </c>
      <c r="I26" s="7">
        <v>1100</v>
      </c>
      <c r="J26" s="7"/>
      <c r="K26" s="7">
        <f>Table23453456879111215141617181920212223242526272834567891011345678910111267[[#This Row],[Account Transfer]]-Table23453456879111215141617181920212223242526272834567891011345678910111267[[#This Row],[Expense Online]]</f>
        <v>925</v>
      </c>
      <c r="L26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-369.5</v>
      </c>
      <c r="M26" s="7">
        <f>Table23453456879111215141617181920212223242526272834567891011345678910111267[[#This Row],[Cash]]-Table23453456879111215141617181920212223242526272834567891011345678910111267[[#This Row],[Expense]]</f>
        <v>340</v>
      </c>
      <c r="O26" s="8">
        <f t="shared" si="20"/>
        <v>45642</v>
      </c>
      <c r="P26" s="9">
        <f>Q26/3</f>
        <v>3951</v>
      </c>
      <c r="Q26" s="9">
        <f>S26*0.3</f>
        <v>11853</v>
      </c>
      <c r="R26" s="9">
        <f t="shared" si="21"/>
        <v>27657</v>
      </c>
      <c r="S26" s="9">
        <f t="shared" ref="S26:S31" si="25">T26+U26</f>
        <v>39510</v>
      </c>
      <c r="T26" s="9">
        <f t="shared" si="22"/>
        <v>18330</v>
      </c>
      <c r="U26" s="9">
        <f t="shared" si="23"/>
        <v>21180</v>
      </c>
      <c r="V26" s="9">
        <f t="shared" si="24"/>
        <v>10000</v>
      </c>
    </row>
    <row r="27" spans="1:22" x14ac:dyDescent="0.35">
      <c r="A27" s="6">
        <v>45651</v>
      </c>
      <c r="B27" s="7">
        <f>Table23453456879111215141617181920212223242526272834567891011345678910111267[[#This Row],[Profit]]-Table23453456879111215141617181920212223242526272834567891011345678910111267[[#This Row],[Mulbhag]]</f>
        <v>9329.2000000000007</v>
      </c>
      <c r="C27" s="43">
        <f>Table23453456879111215141617181920212223242526272834567891011345678910111267[[#This Row],[Profit]]/3</f>
        <v>4664.5999999999995</v>
      </c>
      <c r="D27" s="7">
        <f t="shared" si="0"/>
        <v>13993.8</v>
      </c>
      <c r="E27" s="7">
        <f t="shared" si="1"/>
        <v>32652.2</v>
      </c>
      <c r="F27" s="7">
        <f t="shared" si="2"/>
        <v>46646</v>
      </c>
      <c r="G27" s="7">
        <v>8765</v>
      </c>
      <c r="H27" s="7">
        <v>37881</v>
      </c>
      <c r="I27" s="7">
        <v>1640</v>
      </c>
      <c r="J27" s="7">
        <v>2200</v>
      </c>
      <c r="K27" s="7">
        <f>Table23453456879111215141617181920212223242526272834567891011345678910111267[[#This Row],[Account Transfer]]-Table23453456879111215141617181920212223242526272834567891011345678910111267[[#This Row],[Expense Online]]</f>
        <v>35681</v>
      </c>
      <c r="L27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-6868.8</v>
      </c>
      <c r="M27" s="7">
        <f>Table23453456879111215141617181920212223242526272834567891011345678910111267[[#This Row],[Cash]]-Table23453456879111215141617181920212223242526272834567891011345678910111267[[#This Row],[Expense]]</f>
        <v>7125</v>
      </c>
      <c r="O27" s="10">
        <f t="shared" si="20"/>
        <v>45643</v>
      </c>
      <c r="P27" s="11">
        <f t="shared" ref="P27:P31" si="26">Q27/3</f>
        <v>1984</v>
      </c>
      <c r="Q27" s="11">
        <f t="shared" ref="Q27:Q31" si="27">S27*0.3</f>
        <v>5952</v>
      </c>
      <c r="R27" s="11">
        <f t="shared" si="21"/>
        <v>13888</v>
      </c>
      <c r="S27" s="11">
        <f t="shared" si="25"/>
        <v>19840</v>
      </c>
      <c r="T27" s="11">
        <f t="shared" si="22"/>
        <v>1790</v>
      </c>
      <c r="U27" s="11">
        <f t="shared" si="23"/>
        <v>18050</v>
      </c>
      <c r="V27" s="11">
        <f t="shared" si="24"/>
        <v>1450</v>
      </c>
    </row>
    <row r="28" spans="1:22" x14ac:dyDescent="0.35">
      <c r="A28" s="6">
        <v>45652</v>
      </c>
      <c r="B28" s="7">
        <f>Table23453456879111215141617181920212223242526272834567891011345678910111267[[#This Row],[Profit]]-Table23453456879111215141617181920212223242526272834567891011345678910111267[[#This Row],[Mulbhag]]</f>
        <v>12908</v>
      </c>
      <c r="C28" s="43">
        <f>Table23453456879111215141617181920212223242526272834567891011345678910111267[[#This Row],[Profit]]/3</f>
        <v>6454</v>
      </c>
      <c r="D28" s="7">
        <f t="shared" si="0"/>
        <v>19362</v>
      </c>
      <c r="E28" s="7">
        <f t="shared" si="1"/>
        <v>45178</v>
      </c>
      <c r="F28" s="7">
        <f t="shared" si="2"/>
        <v>64540</v>
      </c>
      <c r="G28" s="7">
        <v>26400</v>
      </c>
      <c r="H28" s="7">
        <v>38140</v>
      </c>
      <c r="I28" s="7">
        <v>5815</v>
      </c>
      <c r="J28" s="7">
        <v>20000</v>
      </c>
      <c r="K28" s="7">
        <f>Table23453456879111215141617181920212223242526272834567891011345678910111267[[#This Row],[Account Transfer]]-Table23453456879111215141617181920212223242526272834567891011345678910111267[[#This Row],[Expense Online]]</f>
        <v>18140</v>
      </c>
      <c r="L28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1223</v>
      </c>
      <c r="M28" s="7">
        <f>Table23453456879111215141617181920212223242526272834567891011345678910111267[[#This Row],[Cash]]-Table23453456879111215141617181920212223242526272834567891011345678910111267[[#This Row],[Expense]]</f>
        <v>20585</v>
      </c>
      <c r="O28" s="8">
        <f t="shared" si="20"/>
        <v>45644</v>
      </c>
      <c r="P28" s="9">
        <f t="shared" si="26"/>
        <v>2998.3999999999996</v>
      </c>
      <c r="Q28" s="9">
        <f t="shared" si="27"/>
        <v>8995.1999999999989</v>
      </c>
      <c r="R28" s="9">
        <f t="shared" si="21"/>
        <v>20988.800000000003</v>
      </c>
      <c r="S28" s="9">
        <f t="shared" si="25"/>
        <v>29984</v>
      </c>
      <c r="T28" s="9">
        <f t="shared" si="22"/>
        <v>5750</v>
      </c>
      <c r="U28" s="9">
        <f t="shared" si="23"/>
        <v>24234</v>
      </c>
      <c r="V28" s="9">
        <f t="shared" si="24"/>
        <v>9715</v>
      </c>
    </row>
    <row r="29" spans="1:22" x14ac:dyDescent="0.35">
      <c r="A29" s="6">
        <v>45653</v>
      </c>
      <c r="B29" s="7">
        <f>Table23453456879111215141617181920212223242526272834567891011345678910111267[[#This Row],[Profit]]-Table23453456879111215141617181920212223242526272834567891011345678910111267[[#This Row],[Mulbhag]]</f>
        <v>5922</v>
      </c>
      <c r="C29" s="43">
        <f>Table23453456879111215141617181920212223242526272834567891011345678910111267[[#This Row],[Profit]]/3</f>
        <v>2961</v>
      </c>
      <c r="D29" s="7">
        <f t="shared" si="0"/>
        <v>8883</v>
      </c>
      <c r="E29" s="7">
        <f t="shared" si="1"/>
        <v>20727</v>
      </c>
      <c r="F29" s="7">
        <f t="shared" si="2"/>
        <v>29610</v>
      </c>
      <c r="G29" s="7">
        <v>10130</v>
      </c>
      <c r="H29" s="7">
        <v>19480</v>
      </c>
      <c r="I29" s="7">
        <v>3060</v>
      </c>
      <c r="J29" s="7">
        <v>1000</v>
      </c>
      <c r="K29" s="7">
        <f>Table23453456879111215141617181920212223242526272834567891011345678910111267[[#This Row],[Account Transfer]]-Table23453456879111215141617181920212223242526272834567891011345678910111267[[#This Row],[Expense Online]]</f>
        <v>18480</v>
      </c>
      <c r="L29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-1813</v>
      </c>
      <c r="M29" s="7">
        <f>Table23453456879111215141617181920212223242526272834567891011345678910111267[[#This Row],[Cash]]-Table23453456879111215141617181920212223242526272834567891011345678910111267[[#This Row],[Expense]]</f>
        <v>7070</v>
      </c>
      <c r="O29" s="10">
        <f t="shared" si="20"/>
        <v>45645</v>
      </c>
      <c r="P29" s="11">
        <f t="shared" si="26"/>
        <v>7696.2</v>
      </c>
      <c r="Q29" s="11">
        <f t="shared" si="27"/>
        <v>23088.6</v>
      </c>
      <c r="R29" s="11">
        <f t="shared" si="21"/>
        <v>53873.4</v>
      </c>
      <c r="S29" s="11">
        <f t="shared" si="25"/>
        <v>76962</v>
      </c>
      <c r="T29" s="11">
        <f t="shared" si="22"/>
        <v>1340</v>
      </c>
      <c r="U29" s="11">
        <f t="shared" si="23"/>
        <v>75622</v>
      </c>
      <c r="V29" s="11">
        <f t="shared" si="24"/>
        <v>440</v>
      </c>
    </row>
    <row r="30" spans="1:22" x14ac:dyDescent="0.35">
      <c r="A30" s="6">
        <v>45654</v>
      </c>
      <c r="B30" s="7">
        <f>Table23453456879111215141617181920212223242526272834567891011345678910111267[[#This Row],[Profit]]-Table23453456879111215141617181920212223242526272834567891011345678910111267[[#This Row],[Mulbhag]]</f>
        <v>3176</v>
      </c>
      <c r="C30" s="43">
        <f>Table23453456879111215141617181920212223242526272834567891011345678910111267[[#This Row],[Profit]]/3</f>
        <v>1588</v>
      </c>
      <c r="D30" s="7">
        <f t="shared" si="0"/>
        <v>4764</v>
      </c>
      <c r="E30" s="7">
        <f t="shared" si="1"/>
        <v>11116</v>
      </c>
      <c r="F30" s="7">
        <f t="shared" si="2"/>
        <v>15880</v>
      </c>
      <c r="G30" s="7">
        <v>9730</v>
      </c>
      <c r="H30" s="7">
        <v>6150</v>
      </c>
      <c r="I30" s="7">
        <v>1260</v>
      </c>
      <c r="J30" s="7"/>
      <c r="K30" s="7">
        <f>Table23453456879111215141617181920212223242526272834567891011345678910111267[[#This Row],[Account Transfer]]-Table23453456879111215141617181920212223242526272834567891011345678910111267[[#This Row],[Expense Online]]</f>
        <v>6150</v>
      </c>
      <c r="L30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3706</v>
      </c>
      <c r="M30" s="7">
        <f>Table23453456879111215141617181920212223242526272834567891011345678910111267[[#This Row],[Cash]]-Table23453456879111215141617181920212223242526272834567891011345678910111267[[#This Row],[Expense]]</f>
        <v>8470</v>
      </c>
      <c r="O30" s="8">
        <f t="shared" si="20"/>
        <v>45646</v>
      </c>
      <c r="P30" s="9">
        <f t="shared" si="26"/>
        <v>2264.6</v>
      </c>
      <c r="Q30" s="9">
        <f t="shared" si="27"/>
        <v>6793.8</v>
      </c>
      <c r="R30" s="9">
        <f t="shared" si="21"/>
        <v>15852.2</v>
      </c>
      <c r="S30" s="9">
        <f t="shared" si="25"/>
        <v>22646</v>
      </c>
      <c r="T30" s="9">
        <f t="shared" si="22"/>
        <v>7380</v>
      </c>
      <c r="U30" s="9">
        <f t="shared" si="23"/>
        <v>15266</v>
      </c>
      <c r="V30" s="9">
        <f t="shared" si="24"/>
        <v>51140</v>
      </c>
    </row>
    <row r="31" spans="1:22" x14ac:dyDescent="0.35">
      <c r="A31" s="6">
        <v>45655</v>
      </c>
      <c r="B31" s="7">
        <f>Table23453456879111215141617181920212223242526272834567891011345678910111267[[#This Row],[Profit]]-Table23453456879111215141617181920212223242526272834567891011345678910111267[[#This Row],[Mulbhag]]</f>
        <v>2250</v>
      </c>
      <c r="C31" s="43">
        <f>Table23453456879111215141617181920212223242526272834567891011345678910111267[[#This Row],[Profit]]/3</f>
        <v>1125</v>
      </c>
      <c r="D31" s="7">
        <f t="shared" si="0"/>
        <v>3375</v>
      </c>
      <c r="E31" s="7">
        <f t="shared" si="1"/>
        <v>7875</v>
      </c>
      <c r="F31" s="7">
        <f t="shared" si="2"/>
        <v>11250</v>
      </c>
      <c r="G31" s="7">
        <v>4100</v>
      </c>
      <c r="H31" s="7">
        <v>7150</v>
      </c>
      <c r="I31" s="7">
        <v>5450</v>
      </c>
      <c r="J31" s="7"/>
      <c r="K31" s="7">
        <f>Table23453456879111215141617181920212223242526272834567891011345678910111267[[#This Row],[Account Transfer]]-Table23453456879111215141617181920212223242526272834567891011345678910111267[[#This Row],[Expense Online]]</f>
        <v>7150</v>
      </c>
      <c r="L31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-4725</v>
      </c>
      <c r="M31" s="7">
        <f>Table23453456879111215141617181920212223242526272834567891011345678910111267[[#This Row],[Cash]]-Table23453456879111215141617181920212223242526272834567891011345678910111267[[#This Row],[Expense]]</f>
        <v>-1350</v>
      </c>
      <c r="O31" s="10">
        <f t="shared" si="20"/>
        <v>45647</v>
      </c>
      <c r="P31" s="11">
        <f t="shared" si="26"/>
        <v>5362</v>
      </c>
      <c r="Q31" s="11">
        <f t="shared" si="27"/>
        <v>16086</v>
      </c>
      <c r="R31" s="11">
        <f t="shared" si="21"/>
        <v>37534</v>
      </c>
      <c r="S31" s="11">
        <f t="shared" si="25"/>
        <v>53620</v>
      </c>
      <c r="T31" s="11">
        <f t="shared" si="22"/>
        <v>10420</v>
      </c>
      <c r="U31" s="11">
        <f t="shared" si="23"/>
        <v>43200</v>
      </c>
      <c r="V31" s="11">
        <f t="shared" si="24"/>
        <v>1140</v>
      </c>
    </row>
    <row r="32" spans="1:22" x14ac:dyDescent="0.35">
      <c r="A32" s="6">
        <v>45656</v>
      </c>
      <c r="B32" s="7">
        <f>Table23453456879111215141617181920212223242526272834567891011345678910111267[[#This Row],[Profit]]-Table23453456879111215141617181920212223242526272834567891011345678910111267[[#This Row],[Mulbhag]]</f>
        <v>3188</v>
      </c>
      <c r="C32" s="43">
        <f>Table23453456879111215141617181920212223242526272834567891011345678910111267[[#This Row],[Profit]]/3</f>
        <v>1594</v>
      </c>
      <c r="D32" s="7">
        <f t="shared" si="0"/>
        <v>4782</v>
      </c>
      <c r="E32" s="7">
        <f t="shared" si="1"/>
        <v>11158</v>
      </c>
      <c r="F32" s="7">
        <f t="shared" si="2"/>
        <v>15940</v>
      </c>
      <c r="G32" s="7">
        <v>6230</v>
      </c>
      <c r="H32" s="7">
        <v>9710</v>
      </c>
      <c r="I32" s="7">
        <v>1260</v>
      </c>
      <c r="J32" s="7"/>
      <c r="K32" s="7">
        <f>Table23453456879111215141617181920212223242526272834567891011345678910111267[[#This Row],[Account Transfer]]-Table23453456879111215141617181920212223242526272834567891011345678910111267[[#This Row],[Expense Online]]</f>
        <v>9710</v>
      </c>
      <c r="L32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188</v>
      </c>
      <c r="M32" s="7">
        <f>Table23453456879111215141617181920212223242526272834567891011345678910111267[[#This Row],[Cash]]-Table23453456879111215141617181920212223242526272834567891011345678910111267[[#This Row],[Expense]]</f>
        <v>4970</v>
      </c>
      <c r="O32" s="12" t="s">
        <v>3</v>
      </c>
      <c r="P32" s="12">
        <f>SUM(P25:P31)</f>
        <v>26886.199999999997</v>
      </c>
      <c r="Q32" s="11">
        <f t="shared" ref="Q32:V32" si="28">SUM(Q25:Q31)</f>
        <v>80658.600000000006</v>
      </c>
      <c r="R32" s="11">
        <f t="shared" si="28"/>
        <v>188203.40000000002</v>
      </c>
      <c r="S32" s="11">
        <f t="shared" si="28"/>
        <v>268862</v>
      </c>
      <c r="T32" s="11">
        <f t="shared" si="28"/>
        <v>63510</v>
      </c>
      <c r="U32" s="11">
        <f t="shared" si="28"/>
        <v>205352</v>
      </c>
      <c r="V32" s="11">
        <f t="shared" si="28"/>
        <v>78720</v>
      </c>
    </row>
    <row r="33" spans="1:22" x14ac:dyDescent="0.35">
      <c r="A33" s="6">
        <v>45657</v>
      </c>
      <c r="B33" s="7">
        <f>Table23453456879111215141617181920212223242526272834567891011345678910111267[[#This Row],[Profit]]-Table23453456879111215141617181920212223242526272834567891011345678910111267[[#This Row],[Mulbhag]]</f>
        <v>5166</v>
      </c>
      <c r="C33" s="43">
        <f>Table23453456879111215141617181920212223242526272834567891011345678910111267[[#This Row],[Profit]]/3</f>
        <v>2583</v>
      </c>
      <c r="D33" s="7">
        <f t="shared" si="0"/>
        <v>7749</v>
      </c>
      <c r="E33" s="7">
        <f t="shared" si="1"/>
        <v>18081</v>
      </c>
      <c r="F33" s="7">
        <f t="shared" si="2"/>
        <v>25830</v>
      </c>
      <c r="G33" s="7">
        <v>9030</v>
      </c>
      <c r="H33" s="7">
        <v>16800</v>
      </c>
      <c r="I33" s="7">
        <v>1720</v>
      </c>
      <c r="J33" s="7"/>
      <c r="K33" s="7">
        <f>Table23453456879111215141617181920212223242526272834567891011345678910111267[[#This Row],[Account Transfer]]-Table23453456879111215141617181920212223242526272834567891011345678910111267[[#This Row],[Expense Online]]</f>
        <v>16800</v>
      </c>
      <c r="L33" s="7">
        <f>Table23453456879111215141617181920212223242526272834567891011345678910111267[[#This Row],[Cash]]-Table23453456879111215141617181920212223242526272834567891011345678910111267[[#This Row],[Mulbhag]]-Table23453456879111215141617181920212223242526272834567891011345678910111267[[#This Row],[Actual Profit]]-Table23453456879111215141617181920212223242526272834567891011345678910111267[[#This Row],[Expense]]</f>
        <v>-439</v>
      </c>
      <c r="M33" s="7">
        <f>Table23453456879111215141617181920212223242526272834567891011345678910111267[[#This Row],[Cash]]-Table23453456879111215141617181920212223242526272834567891011345678910111267[[#This Row],[Expense]]</f>
        <v>7310</v>
      </c>
      <c r="O33" s="12" t="s">
        <v>7</v>
      </c>
      <c r="P33" s="9"/>
      <c r="Q33" s="9">
        <f>Q32/3</f>
        <v>26886.2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SUBTOTAL(109,Table23453456879111215141617181920212223242526272834567891011345678910111267[Actual Profit])</f>
        <v>162944.20000000001</v>
      </c>
      <c r="C34" s="16">
        <f>SUBTOTAL(109,Table23453456879111215141617181920212223242526272834567891011345678910111267[Mulbhag])</f>
        <v>81472.100000000006</v>
      </c>
      <c r="D34" s="16">
        <f>SUBTOTAL(109,Table23453456879111215141617181920212223242526272834567891011345678910111267[Profit])</f>
        <v>244416.29999999996</v>
      </c>
      <c r="E34" s="16">
        <f>SUBTOTAL(109,Table23453456879111215141617181920212223242526272834567891011345678910111267[Profit])</f>
        <v>244416.29999999996</v>
      </c>
      <c r="F34" s="16">
        <f>SUM(F3:F33)</f>
        <v>814721</v>
      </c>
      <c r="G34" s="16">
        <f>SUBTOTAL(109,Table23453456879111215141617181920212223242526272834567891011345678910111267[Profit])</f>
        <v>244416.29999999996</v>
      </c>
      <c r="H34" s="16">
        <f>SUBTOTAL(109,Table23453456879111215141617181920212223242526272834567891011345678910111267[Profit])</f>
        <v>244416.29999999996</v>
      </c>
      <c r="I34" s="16">
        <f>SUM(I5:I33)</f>
        <v>170556</v>
      </c>
      <c r="J34" s="16">
        <f>SUBTOTAL(109,Table23453456879111215141617181920212223242526272834567891011345678910111267[Expense Online])</f>
        <v>518235</v>
      </c>
      <c r="K34" s="16">
        <f>SUBTOTAL(109,Table23453456879111215141617181920212223242526272834567891011345678910111267[Account Balance])</f>
        <v>7040</v>
      </c>
      <c r="L34" s="16">
        <f>SUM(L5:L33)</f>
        <v>-133970.29999999999</v>
      </c>
      <c r="M34" s="16">
        <f>SUBTOTAL(109,Table23453456879111215141617181920212223242526272834567891011345678910111267[Actual Balance])</f>
        <v>117340</v>
      </c>
    </row>
    <row r="35" spans="1:22" x14ac:dyDescent="0.35">
      <c r="A35" s="17"/>
      <c r="B35" s="18"/>
      <c r="C35" s="49"/>
      <c r="D35" s="18"/>
      <c r="E35" s="18"/>
      <c r="F35" s="18"/>
      <c r="G35" s="18"/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49"/>
      <c r="D36" s="18"/>
      <c r="E36" s="18"/>
      <c r="F36" s="18"/>
      <c r="G36" s="18"/>
      <c r="H36" s="18"/>
      <c r="I36" s="18"/>
      <c r="J36" s="18"/>
      <c r="K36" s="18"/>
      <c r="L36" s="18"/>
      <c r="M36" s="18"/>
      <c r="O36" s="8">
        <f t="shared" ref="O36:O40" si="29">A24</f>
        <v>45648</v>
      </c>
      <c r="P36" s="11">
        <f>Q36/3</f>
        <v>720</v>
      </c>
      <c r="Q36" s="11">
        <f>S36*0.3</f>
        <v>2160</v>
      </c>
      <c r="R36" s="11">
        <f t="shared" ref="R36:R41" si="30">S36-Q36</f>
        <v>5040</v>
      </c>
      <c r="S36" s="11">
        <f>T36+U36</f>
        <v>7200</v>
      </c>
      <c r="T36" s="11">
        <f t="shared" ref="T36:T41" si="31">VLOOKUP(O36,$A$1:$J$34,7,0)</f>
        <v>2150</v>
      </c>
      <c r="U36" s="11">
        <f t="shared" ref="U36:U41" si="32">VLOOKUP(O36,$A$1:$J$34,8,0)</f>
        <v>5050</v>
      </c>
      <c r="V36" s="11">
        <f t="shared" ref="V36:V41" si="33">VLOOKUP(O36,$A$1:$J$34,9,0)</f>
        <v>685</v>
      </c>
    </row>
    <row r="37" spans="1:22" ht="29" x14ac:dyDescent="0.35">
      <c r="A37" s="13" t="s">
        <v>0</v>
      </c>
      <c r="B37" s="41" t="s">
        <v>10</v>
      </c>
      <c r="C37" s="14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45649</v>
      </c>
      <c r="P37" s="9">
        <f>Q37/3</f>
        <v>789</v>
      </c>
      <c r="Q37" s="9">
        <f>S37*0.3</f>
        <v>2367</v>
      </c>
      <c r="R37" s="9">
        <f t="shared" si="30"/>
        <v>5523</v>
      </c>
      <c r="S37" s="9">
        <f t="shared" ref="S37:S41" si="34">T37+U37</f>
        <v>7890</v>
      </c>
      <c r="T37" s="9">
        <f t="shared" si="31"/>
        <v>2720</v>
      </c>
      <c r="U37" s="9">
        <f t="shared" si="32"/>
        <v>5170</v>
      </c>
      <c r="V37" s="9">
        <f t="shared" si="33"/>
        <v>3120</v>
      </c>
    </row>
    <row r="38" spans="1:22" x14ac:dyDescent="0.35">
      <c r="A38" s="20" t="str">
        <f>CONCATENATE(TEXT(O3,"DD-MMM-YYY")," to ",TEXT(O9,"DD-MMM-YYYY"))</f>
        <v>01-Dec-2024 to 07-Dec-2024</v>
      </c>
      <c r="B38" s="11">
        <f>D38-C38</f>
        <v>15507</v>
      </c>
      <c r="C38" s="11">
        <f>D38/3</f>
        <v>7753.5</v>
      </c>
      <c r="D38" s="11">
        <f>Q10</f>
        <v>23260.5</v>
      </c>
      <c r="E38" s="11">
        <f t="shared" ref="E38:I38" si="35">R10</f>
        <v>54274.5</v>
      </c>
      <c r="F38" s="11">
        <f t="shared" si="35"/>
        <v>77535</v>
      </c>
      <c r="G38" s="11">
        <f t="shared" si="35"/>
        <v>41576</v>
      </c>
      <c r="H38" s="11">
        <f t="shared" si="35"/>
        <v>35959</v>
      </c>
      <c r="I38" s="11">
        <f t="shared" si="35"/>
        <v>17476</v>
      </c>
      <c r="J38" s="11"/>
      <c r="K38" s="11"/>
      <c r="L38" s="11"/>
      <c r="M38" s="11"/>
      <c r="O38" s="10">
        <f t="shared" si="29"/>
        <v>45650</v>
      </c>
      <c r="P38" s="11">
        <f t="shared" ref="P38:P41" si="36">Q38/3</f>
        <v>236.5</v>
      </c>
      <c r="Q38" s="11">
        <f t="shared" ref="Q38:Q41" si="37">S38*0.3</f>
        <v>709.5</v>
      </c>
      <c r="R38" s="11">
        <f t="shared" si="30"/>
        <v>1655.5</v>
      </c>
      <c r="S38" s="11">
        <f t="shared" si="34"/>
        <v>2365</v>
      </c>
      <c r="T38" s="11">
        <f t="shared" si="31"/>
        <v>1440</v>
      </c>
      <c r="U38" s="11">
        <f t="shared" si="32"/>
        <v>925</v>
      </c>
      <c r="V38" s="11">
        <f t="shared" si="33"/>
        <v>1100</v>
      </c>
    </row>
    <row r="39" spans="1:22" x14ac:dyDescent="0.35">
      <c r="A39" s="20" t="str">
        <f>CONCATENATE(TEXT(O14,"DD-MMM-YYY")," to ",TEXT(O20,"DD-MMM-YYYY"))</f>
        <v>08-Dec-2024 to 14-Dec-2024</v>
      </c>
      <c r="B39" s="9">
        <f t="shared" ref="B39:B42" si="38">D39-C39</f>
        <v>48234.599999999991</v>
      </c>
      <c r="C39" s="9">
        <f t="shared" ref="C39:C42" si="39">D39/3</f>
        <v>24117.3</v>
      </c>
      <c r="D39" s="9">
        <f>Q21</f>
        <v>72351.899999999994</v>
      </c>
      <c r="E39" s="9">
        <f t="shared" ref="E39:I39" si="40">R21</f>
        <v>168821.1</v>
      </c>
      <c r="F39" s="9">
        <f t="shared" si="40"/>
        <v>241173</v>
      </c>
      <c r="G39" s="9">
        <f t="shared" si="40"/>
        <v>103665</v>
      </c>
      <c r="H39" s="9">
        <f t="shared" si="40"/>
        <v>137508</v>
      </c>
      <c r="I39" s="9">
        <f t="shared" si="40"/>
        <v>50800</v>
      </c>
      <c r="J39" s="9"/>
      <c r="K39" s="9"/>
      <c r="L39" s="9"/>
      <c r="M39" s="9"/>
      <c r="O39" s="8">
        <f t="shared" si="29"/>
        <v>45651</v>
      </c>
      <c r="P39" s="9">
        <f t="shared" si="36"/>
        <v>4664.5999999999995</v>
      </c>
      <c r="Q39" s="9">
        <f t="shared" si="37"/>
        <v>13993.8</v>
      </c>
      <c r="R39" s="9">
        <f t="shared" si="30"/>
        <v>32652.2</v>
      </c>
      <c r="S39" s="9">
        <f t="shared" si="34"/>
        <v>46646</v>
      </c>
      <c r="T39" s="9">
        <f t="shared" si="31"/>
        <v>8765</v>
      </c>
      <c r="U39" s="9">
        <f t="shared" si="32"/>
        <v>37881</v>
      </c>
      <c r="V39" s="9">
        <f t="shared" si="33"/>
        <v>1640</v>
      </c>
    </row>
    <row r="40" spans="1:22" x14ac:dyDescent="0.35">
      <c r="A40" s="20" t="str">
        <f>CONCATENATE(TEXT(O25,"DD-MMM-YYY")," to ",TEXT(O31,"DD-MMM-YYYY"))</f>
        <v>15-Dec-2024 to 21-Dec-2024</v>
      </c>
      <c r="B40" s="11">
        <f t="shared" si="38"/>
        <v>53772.400000000009</v>
      </c>
      <c r="C40" s="11">
        <f t="shared" si="39"/>
        <v>26886.2</v>
      </c>
      <c r="D40" s="11">
        <f>Q32</f>
        <v>80658.600000000006</v>
      </c>
      <c r="E40" s="11">
        <f t="shared" ref="E40:I40" si="41">R32</f>
        <v>188203.40000000002</v>
      </c>
      <c r="F40" s="11">
        <f t="shared" si="41"/>
        <v>268862</v>
      </c>
      <c r="G40" s="11">
        <f t="shared" si="41"/>
        <v>63510</v>
      </c>
      <c r="H40" s="11">
        <f t="shared" si="41"/>
        <v>205352</v>
      </c>
      <c r="I40" s="11">
        <f t="shared" si="41"/>
        <v>78720</v>
      </c>
      <c r="J40" s="11"/>
      <c r="K40" s="11"/>
      <c r="L40" s="11"/>
      <c r="M40" s="11"/>
      <c r="O40" s="10">
        <f t="shared" si="29"/>
        <v>45652</v>
      </c>
      <c r="P40" s="11">
        <f t="shared" si="36"/>
        <v>6454</v>
      </c>
      <c r="Q40" s="11">
        <f t="shared" si="37"/>
        <v>19362</v>
      </c>
      <c r="R40" s="11">
        <f t="shared" si="30"/>
        <v>45178</v>
      </c>
      <c r="S40" s="11">
        <f t="shared" si="34"/>
        <v>64540</v>
      </c>
      <c r="T40" s="11">
        <f t="shared" si="31"/>
        <v>26400</v>
      </c>
      <c r="U40" s="11">
        <f t="shared" si="32"/>
        <v>38140</v>
      </c>
      <c r="V40" s="11">
        <f t="shared" si="33"/>
        <v>5815</v>
      </c>
    </row>
    <row r="41" spans="1:22" x14ac:dyDescent="0.35">
      <c r="A41" s="20" t="str">
        <f>CONCATENATE(TEXT(O36,"DD-MMM-YYY")," to ",TEXT(O41,"DD-MMM-YYYY"))</f>
        <v>22-Dec-2024 to 31-Dec-2024</v>
      </c>
      <c r="B41" s="9">
        <f t="shared" si="38"/>
        <v>30894.200000000004</v>
      </c>
      <c r="C41" s="9">
        <f t="shared" si="39"/>
        <v>15447.1</v>
      </c>
      <c r="D41" s="9">
        <f>Q42</f>
        <v>46341.3</v>
      </c>
      <c r="E41" s="9">
        <f t="shared" ref="E41:I41" si="42">R42</f>
        <v>108129.7</v>
      </c>
      <c r="F41" s="9">
        <f t="shared" si="42"/>
        <v>154471</v>
      </c>
      <c r="G41" s="9">
        <f t="shared" si="42"/>
        <v>50505</v>
      </c>
      <c r="H41" s="9">
        <f t="shared" si="42"/>
        <v>103966</v>
      </c>
      <c r="I41" s="9">
        <f t="shared" si="42"/>
        <v>14080</v>
      </c>
      <c r="J41" s="9"/>
      <c r="K41" s="9"/>
      <c r="L41" s="9"/>
      <c r="M41" s="9"/>
      <c r="O41" s="8">
        <f>A33</f>
        <v>45657</v>
      </c>
      <c r="P41" s="9">
        <f t="shared" si="36"/>
        <v>2583</v>
      </c>
      <c r="Q41" s="9">
        <f t="shared" si="37"/>
        <v>7749</v>
      </c>
      <c r="R41" s="9">
        <f t="shared" si="30"/>
        <v>18081</v>
      </c>
      <c r="S41" s="9">
        <f t="shared" si="34"/>
        <v>25830</v>
      </c>
      <c r="T41" s="9">
        <f t="shared" si="31"/>
        <v>9030</v>
      </c>
      <c r="U41" s="9">
        <f t="shared" si="32"/>
        <v>16800</v>
      </c>
      <c r="V41" s="9">
        <f t="shared" si="33"/>
        <v>1720</v>
      </c>
    </row>
    <row r="42" spans="1:22" x14ac:dyDescent="0.35">
      <c r="A42" s="20" t="str">
        <f>CONCATENATE(TEXT(O3,"DD-MMM-YYY")," to ",TEXT(O41,"DD-MMM-YYYY"))</f>
        <v>01-Dec-2024 to 31-Dec-2024</v>
      </c>
      <c r="B42" s="9">
        <f t="shared" si="38"/>
        <v>148408.20000000001</v>
      </c>
      <c r="C42" s="9">
        <f t="shared" si="39"/>
        <v>74204.099999999991</v>
      </c>
      <c r="D42" s="9">
        <f t="shared" ref="D42:I42" si="43">SUM(D38:D41)</f>
        <v>222612.3</v>
      </c>
      <c r="E42" s="9">
        <f t="shared" si="43"/>
        <v>519428.7</v>
      </c>
      <c r="F42" s="9">
        <f t="shared" si="43"/>
        <v>742041</v>
      </c>
      <c r="G42" s="9">
        <f t="shared" si="43"/>
        <v>259256</v>
      </c>
      <c r="H42" s="9">
        <f t="shared" si="43"/>
        <v>482785</v>
      </c>
      <c r="I42" s="9">
        <f t="shared" si="43"/>
        <v>161076</v>
      </c>
      <c r="J42" s="9"/>
      <c r="K42" s="9"/>
      <c r="L42" s="9"/>
      <c r="M42" s="9"/>
      <c r="O42" s="12" t="s">
        <v>3</v>
      </c>
      <c r="P42" s="12">
        <f t="shared" ref="P42:V42" si="44">SUM(P36:P41)</f>
        <v>15447.099999999999</v>
      </c>
      <c r="Q42" s="11">
        <f t="shared" si="44"/>
        <v>46341.3</v>
      </c>
      <c r="R42" s="9">
        <f t="shared" si="44"/>
        <v>108129.7</v>
      </c>
      <c r="S42" s="9">
        <f t="shared" si="44"/>
        <v>154471</v>
      </c>
      <c r="T42" s="9">
        <f t="shared" si="44"/>
        <v>50505</v>
      </c>
      <c r="U42" s="9">
        <f t="shared" si="44"/>
        <v>103966</v>
      </c>
      <c r="V42" s="9">
        <f t="shared" si="44"/>
        <v>14080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15447.1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45631</v>
      </c>
      <c r="P47" s="9"/>
      <c r="Q47" s="9">
        <f t="shared" ref="Q47:V47" si="45">SUM(D8:D33)</f>
        <v>230215.19999999998</v>
      </c>
      <c r="R47" s="9">
        <f t="shared" si="45"/>
        <v>537168.80000000005</v>
      </c>
      <c r="S47" s="9">
        <f t="shared" si="45"/>
        <v>767384</v>
      </c>
      <c r="T47" s="9">
        <f t="shared" si="45"/>
        <v>265470</v>
      </c>
      <c r="U47" s="9">
        <f t="shared" si="45"/>
        <v>501914</v>
      </c>
      <c r="V47" s="9">
        <f t="shared" si="45"/>
        <v>157751</v>
      </c>
    </row>
    <row r="48" spans="1:22" x14ac:dyDescent="0.35">
      <c r="O48" s="12" t="s">
        <v>7</v>
      </c>
      <c r="P48" s="11"/>
      <c r="Q48" s="11">
        <f>Q47/3</f>
        <v>76738.399999999994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4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1">
      <dataBar>
        <cfvo type="min"/>
        <cfvo type="max"/>
        <color rgb="FF638EC6"/>
      </dataBar>
    </cfRule>
    <cfRule type="dataBar" priority="7">
      <dataBar>
        <cfvo type="min"/>
        <cfvo type="max"/>
        <color rgb="FF638EC6"/>
      </dataBar>
    </cfRule>
  </conditionalFormatting>
  <conditionalFormatting sqref="H37"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</conditionalFormatting>
  <conditionalFormatting sqref="I37:M37 A37 C37:G37">
    <cfRule type="dataBar" priority="9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69BB-3BBF-4491-B4D2-BC5F47DA8E3D}">
  <dimension ref="A1:V48"/>
  <sheetViews>
    <sheetView zoomScale="90" zoomScaleNormal="90" workbookViewId="0">
      <pane ySplit="1" topLeftCell="A14" activePane="bottomLeft" state="frozen"/>
      <selection pane="bottomLeft" activeCell="C34" sqref="C34:F34"/>
    </sheetView>
  </sheetViews>
  <sheetFormatPr defaultColWidth="26" defaultRowHeight="14.5" x14ac:dyDescent="0.35"/>
  <cols>
    <col min="1" max="1" width="27.36328125" bestFit="1" customWidth="1"/>
    <col min="2" max="2" width="10" style="19" bestFit="1" customWidth="1"/>
    <col min="3" max="3" width="10" style="50" bestFit="1" customWidth="1"/>
    <col min="4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Table234534568791112151416171819202122232425262728345678910113456789101112678[[#This Row],[Profit]]-Table234534568791112151416171819202122232425262728345678910113456789101112678[[#This Row],[Mulbhag]]</f>
        <v>0</v>
      </c>
      <c r="C2" s="43">
        <f>Table234534568791112151416171819202122232425262728345678910113456789101112678[[#This Row],[Profit]]/3</f>
        <v>0</v>
      </c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Table234534568791112151416171819202122232425262728345678910113456789101112678[[#This Row],[Account Transfer]]-Table234534568791112151416171819202122232425262728345678910113456789101112678[[#This Row],[Expense Online]]</f>
        <v>0</v>
      </c>
      <c r="L2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0</v>
      </c>
      <c r="M2" s="7">
        <f>Table234534568791112151416171819202122232425262728345678910113456789101112678[[#This Row],[Cash]]-Table234534568791112151416171819202122232425262728345678910113456789101112678[[#This Row],[Expense]]</f>
        <v>0</v>
      </c>
      <c r="O2" s="8" t="s">
        <v>8</v>
      </c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45658</v>
      </c>
      <c r="B3" s="7">
        <f>Table234534568791112151416171819202122232425262728345678910113456789101112678[[#This Row],[Profit]]-Table234534568791112151416171819202122232425262728345678910113456789101112678[[#This Row],[Mulbhag]]</f>
        <v>3030</v>
      </c>
      <c r="C3" s="43">
        <f>Table234534568791112151416171819202122232425262728345678910113456789101112678[[#This Row],[Profit]]/3</f>
        <v>1515</v>
      </c>
      <c r="D3" s="7">
        <f t="shared" si="0"/>
        <v>4545</v>
      </c>
      <c r="E3" s="7">
        <f t="shared" si="1"/>
        <v>10605</v>
      </c>
      <c r="F3" s="7">
        <f t="shared" si="2"/>
        <v>15150</v>
      </c>
      <c r="G3" s="7">
        <v>6220</v>
      </c>
      <c r="H3" s="7">
        <v>8930</v>
      </c>
      <c r="I3" s="7">
        <v>840</v>
      </c>
      <c r="J3" s="7">
        <v>500</v>
      </c>
      <c r="K3" s="7">
        <f>Table234534568791112151416171819202122232425262728345678910113456789101112678[[#This Row],[Account Transfer]]-Table234534568791112151416171819202122232425262728345678910113456789101112678[[#This Row],[Expense Online]]</f>
        <v>8430</v>
      </c>
      <c r="L3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835</v>
      </c>
      <c r="M3" s="7">
        <f>Table234534568791112151416171819202122232425262728345678910113456789101112678[[#This Row],[Cash]]-Table234534568791112151416171819202122232425262728345678910113456789101112678[[#This Row],[Expense]]</f>
        <v>5380</v>
      </c>
      <c r="O3" s="10">
        <f t="shared" ref="O3:O9" si="3">A3</f>
        <v>45658</v>
      </c>
      <c r="P3" s="11">
        <f>Q3/3</f>
        <v>1515</v>
      </c>
      <c r="Q3" s="11">
        <f>S3*0.3</f>
        <v>4545</v>
      </c>
      <c r="R3" s="11">
        <f t="shared" ref="R3:R9" si="4">S3-Q3</f>
        <v>10605</v>
      </c>
      <c r="S3" s="11">
        <f>T3+U3</f>
        <v>15150</v>
      </c>
      <c r="T3" s="11">
        <f t="shared" ref="T3:T9" si="5">VLOOKUP(O3,$A$1:$J$34,7,0)</f>
        <v>6220</v>
      </c>
      <c r="U3" s="11">
        <f t="shared" ref="U3:U9" si="6">VLOOKUP(O3,$A$1:$J$34,8,0)</f>
        <v>8930</v>
      </c>
      <c r="V3" s="11">
        <f t="shared" ref="V3:V9" si="7">VLOOKUP(O3,$A$1:$J$34,9,0)</f>
        <v>840</v>
      </c>
    </row>
    <row r="4" spans="1:22" x14ac:dyDescent="0.35">
      <c r="A4" s="6">
        <v>45659</v>
      </c>
      <c r="B4" s="7">
        <f>Table234534568791112151416171819202122232425262728345678910113456789101112678[[#This Row],[Profit]]-Table234534568791112151416171819202122232425262728345678910113456789101112678[[#This Row],[Mulbhag]]</f>
        <v>5388.7999999999993</v>
      </c>
      <c r="C4" s="43">
        <f>Table234534568791112151416171819202122232425262728345678910113456789101112678[[#This Row],[Profit]]/3</f>
        <v>2694.4</v>
      </c>
      <c r="D4" s="7">
        <f t="shared" si="0"/>
        <v>8083.2</v>
      </c>
      <c r="E4" s="7">
        <f t="shared" si="1"/>
        <v>18860.8</v>
      </c>
      <c r="F4" s="7">
        <f t="shared" si="2"/>
        <v>26944</v>
      </c>
      <c r="G4" s="7">
        <v>8124</v>
      </c>
      <c r="H4" s="7">
        <v>18820</v>
      </c>
      <c r="I4" s="7">
        <v>1500</v>
      </c>
      <c r="J4" s="7"/>
      <c r="K4" s="7">
        <f>Table234534568791112151416171819202122232425262728345678910113456789101112678[[#This Row],[Account Transfer]]-Table234534568791112151416171819202122232425262728345678910113456789101112678[[#This Row],[Expense Online]]</f>
        <v>18820</v>
      </c>
      <c r="L4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Row],[Expense]]+L3</f>
        <v>-624.19999999999891</v>
      </c>
      <c r="M4" s="7">
        <f>Table234534568791112151416171819202122232425262728345678910113456789101112678[[#This Row],[Cash]]-Table234534568791112151416171819202122232425262728345678910113456789101112678[[#This Row],[Expense]]</f>
        <v>6624</v>
      </c>
      <c r="O4" s="8">
        <f t="shared" si="3"/>
        <v>45659</v>
      </c>
      <c r="P4" s="9">
        <f>Q4/3</f>
        <v>2694.4</v>
      </c>
      <c r="Q4" s="9">
        <f>S4*0.3</f>
        <v>8083.2</v>
      </c>
      <c r="R4" s="9">
        <f t="shared" si="4"/>
        <v>18860.8</v>
      </c>
      <c r="S4" s="9">
        <f t="shared" ref="S4:S9" si="8">T4+U4</f>
        <v>26944</v>
      </c>
      <c r="T4" s="9">
        <f t="shared" si="5"/>
        <v>8124</v>
      </c>
      <c r="U4" s="9">
        <f t="shared" si="6"/>
        <v>18820</v>
      </c>
      <c r="V4" s="9">
        <f t="shared" si="7"/>
        <v>1500</v>
      </c>
    </row>
    <row r="5" spans="1:22" x14ac:dyDescent="0.35">
      <c r="A5" s="6">
        <v>45660</v>
      </c>
      <c r="B5" s="7">
        <f>Table234534568791112151416171819202122232425262728345678910113456789101112678[[#This Row],[Profit]]-Table234534568791112151416171819202122232425262728345678910113456789101112678[[#This Row],[Mulbhag]]</f>
        <v>1104</v>
      </c>
      <c r="C5" s="43">
        <f>Table234534568791112151416171819202122232425262728345678910113456789101112678[[#This Row],[Profit]]/3</f>
        <v>552</v>
      </c>
      <c r="D5" s="7">
        <f t="shared" si="0"/>
        <v>1656</v>
      </c>
      <c r="E5" s="7">
        <f t="shared" si="1"/>
        <v>3864</v>
      </c>
      <c r="F5" s="7">
        <f t="shared" si="2"/>
        <v>5520</v>
      </c>
      <c r="G5" s="7">
        <v>3810</v>
      </c>
      <c r="H5" s="7">
        <v>1710</v>
      </c>
      <c r="I5" s="7">
        <v>2070</v>
      </c>
      <c r="J5" s="7"/>
      <c r="K5" s="7">
        <f>Table234534568791112151416171819202122232425262728345678910113456789101112678[[#This Row],[Account Transfer]]-Table234534568791112151416171819202122232425262728345678910113456789101112678[[#This Row],[Expense Online]]</f>
        <v>1710</v>
      </c>
      <c r="L5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84</v>
      </c>
      <c r="M5" s="7">
        <f>Table234534568791112151416171819202122232425262728345678910113456789101112678[[#This Row],[Cash]]-Table234534568791112151416171819202122232425262728345678910113456789101112678[[#This Row],[Expense]]</f>
        <v>1740</v>
      </c>
      <c r="O5" s="10">
        <f t="shared" si="3"/>
        <v>45660</v>
      </c>
      <c r="P5" s="11">
        <f t="shared" ref="P5:P9" si="9">Q5/3</f>
        <v>552</v>
      </c>
      <c r="Q5" s="11">
        <f t="shared" ref="Q5:Q9" si="10">S5*0.3</f>
        <v>1656</v>
      </c>
      <c r="R5" s="11">
        <f t="shared" si="4"/>
        <v>3864</v>
      </c>
      <c r="S5" s="11">
        <f t="shared" si="8"/>
        <v>5520</v>
      </c>
      <c r="T5" s="11">
        <f t="shared" si="5"/>
        <v>3810</v>
      </c>
      <c r="U5" s="11">
        <f t="shared" si="6"/>
        <v>1710</v>
      </c>
      <c r="V5" s="11">
        <f t="shared" si="7"/>
        <v>2070</v>
      </c>
    </row>
    <row r="6" spans="1:22" x14ac:dyDescent="0.35">
      <c r="A6" s="6">
        <v>45661</v>
      </c>
      <c r="B6" s="7">
        <f>Table234534568791112151416171819202122232425262728345678910113456789101112678[[#This Row],[Profit]]-Table234534568791112151416171819202122232425262728345678910113456789101112678[[#This Row],[Mulbhag]]</f>
        <v>4949</v>
      </c>
      <c r="C6" s="43">
        <f>Table234534568791112151416171819202122232425262728345678910113456789101112678[[#This Row],[Profit]]/3</f>
        <v>2474.5</v>
      </c>
      <c r="D6" s="7">
        <f t="shared" si="0"/>
        <v>7423.5</v>
      </c>
      <c r="E6" s="7">
        <f t="shared" si="1"/>
        <v>17321.5</v>
      </c>
      <c r="F6" s="7">
        <f t="shared" si="2"/>
        <v>24745</v>
      </c>
      <c r="G6" s="7">
        <v>22490</v>
      </c>
      <c r="H6" s="7">
        <v>2255</v>
      </c>
      <c r="I6" s="7">
        <v>340</v>
      </c>
      <c r="J6" s="7"/>
      <c r="K6" s="7">
        <f>Table234534568791112151416171819202122232425262728345678910113456789101112678[[#This Row],[Account Transfer]]-Table234534568791112151416171819202122232425262728345678910113456789101112678[[#This Row],[Expense Online]]</f>
        <v>2255</v>
      </c>
      <c r="L6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14726.5</v>
      </c>
      <c r="M6" s="7">
        <f>Table234534568791112151416171819202122232425262728345678910113456789101112678[[#This Row],[Cash]]-Table234534568791112151416171819202122232425262728345678910113456789101112678[[#This Row],[Expense]]</f>
        <v>22150</v>
      </c>
      <c r="O6" s="8">
        <f t="shared" si="3"/>
        <v>45661</v>
      </c>
      <c r="P6" s="9">
        <f t="shared" si="9"/>
        <v>2474.5</v>
      </c>
      <c r="Q6" s="9">
        <f t="shared" si="10"/>
        <v>7423.5</v>
      </c>
      <c r="R6" s="9">
        <f t="shared" si="4"/>
        <v>17321.5</v>
      </c>
      <c r="S6" s="9">
        <f t="shared" si="8"/>
        <v>24745</v>
      </c>
      <c r="T6" s="9">
        <f t="shared" si="5"/>
        <v>22490</v>
      </c>
      <c r="U6" s="9">
        <f t="shared" si="6"/>
        <v>2255</v>
      </c>
      <c r="V6" s="9">
        <f t="shared" si="7"/>
        <v>340</v>
      </c>
    </row>
    <row r="7" spans="1:22" x14ac:dyDescent="0.35">
      <c r="A7" s="6">
        <v>45662</v>
      </c>
      <c r="B7" s="7">
        <f>Table234534568791112151416171819202122232425262728345678910113456789101112678[[#This Row],[Profit]]-Table234534568791112151416171819202122232425262728345678910113456789101112678[[#This Row],[Mulbhag]]</f>
        <v>4691</v>
      </c>
      <c r="C7" s="43">
        <f>Table234534568791112151416171819202122232425262728345678910113456789101112678[[#This Row],[Profit]]/3</f>
        <v>2345.5</v>
      </c>
      <c r="D7" s="7">
        <f t="shared" si="0"/>
        <v>7036.5</v>
      </c>
      <c r="E7" s="7">
        <f t="shared" si="1"/>
        <v>16418.5</v>
      </c>
      <c r="F7" s="7">
        <f t="shared" si="2"/>
        <v>23455</v>
      </c>
      <c r="G7" s="7">
        <v>5530</v>
      </c>
      <c r="H7" s="7">
        <v>17925</v>
      </c>
      <c r="I7" s="7">
        <v>6190</v>
      </c>
      <c r="J7" s="7"/>
      <c r="K7" s="7">
        <f>Table234534568791112151416171819202122232425262728345678910113456789101112678[[#This Row],[Account Transfer]]-Table234534568791112151416171819202122232425262728345678910113456789101112678[[#This Row],[Expense Online]]</f>
        <v>17925</v>
      </c>
      <c r="L7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-7696.5</v>
      </c>
      <c r="M7" s="7">
        <f>Table234534568791112151416171819202122232425262728345678910113456789101112678[[#This Row],[Cash]]-Table234534568791112151416171819202122232425262728345678910113456789101112678[[#This Row],[Expense]]</f>
        <v>-660</v>
      </c>
      <c r="O7" s="10">
        <f t="shared" si="3"/>
        <v>45662</v>
      </c>
      <c r="P7" s="11">
        <f t="shared" si="9"/>
        <v>2345.5</v>
      </c>
      <c r="Q7" s="11">
        <f t="shared" si="10"/>
        <v>7036.5</v>
      </c>
      <c r="R7" s="11">
        <f t="shared" si="4"/>
        <v>16418.5</v>
      </c>
      <c r="S7" s="11">
        <f t="shared" si="8"/>
        <v>23455</v>
      </c>
      <c r="T7" s="11">
        <f t="shared" si="5"/>
        <v>5530</v>
      </c>
      <c r="U7" s="11">
        <f t="shared" si="6"/>
        <v>17925</v>
      </c>
      <c r="V7" s="11">
        <f t="shared" si="7"/>
        <v>6190</v>
      </c>
    </row>
    <row r="8" spans="1:22" x14ac:dyDescent="0.35">
      <c r="A8" s="6">
        <v>45663</v>
      </c>
      <c r="B8" s="7">
        <f>Table234534568791112151416171819202122232425262728345678910113456789101112678[[#This Row],[Profit]]-Table234534568791112151416171819202122232425262728345678910113456789101112678[[#This Row],[Mulbhag]]</f>
        <v>5556.4</v>
      </c>
      <c r="C8" s="43">
        <f>Table234534568791112151416171819202122232425262728345678910113456789101112678[[#This Row],[Profit]]/3</f>
        <v>2778.2000000000003</v>
      </c>
      <c r="D8" s="7">
        <f t="shared" si="0"/>
        <v>8334.6</v>
      </c>
      <c r="E8" s="7">
        <f t="shared" si="1"/>
        <v>19447.400000000001</v>
      </c>
      <c r="F8" s="7">
        <f t="shared" si="2"/>
        <v>27782</v>
      </c>
      <c r="G8" s="7">
        <v>6440</v>
      </c>
      <c r="H8" s="7">
        <v>21342</v>
      </c>
      <c r="I8" s="7">
        <v>17432</v>
      </c>
      <c r="J8" s="7"/>
      <c r="K8" s="7">
        <f>Table234534568791112151416171819202122232425262728345678910113456789101112678[[#This Row],[Account Transfer]]-Table234534568791112151416171819202122232425262728345678910113456789101112678[[#This Row],[Expense Online]]</f>
        <v>21342</v>
      </c>
      <c r="L8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-19326.599999999999</v>
      </c>
      <c r="M8" s="7">
        <f>Table234534568791112151416171819202122232425262728345678910113456789101112678[[#This Row],[Cash]]-Table234534568791112151416171819202122232425262728345678910113456789101112678[[#This Row],[Expense]]</f>
        <v>-10992</v>
      </c>
      <c r="O8" s="8">
        <f t="shared" si="3"/>
        <v>45663</v>
      </c>
      <c r="P8" s="9">
        <f t="shared" si="9"/>
        <v>2778.2000000000003</v>
      </c>
      <c r="Q8" s="9">
        <f t="shared" si="10"/>
        <v>8334.6</v>
      </c>
      <c r="R8" s="9">
        <f t="shared" si="4"/>
        <v>19447.400000000001</v>
      </c>
      <c r="S8" s="9">
        <f t="shared" si="8"/>
        <v>27782</v>
      </c>
      <c r="T8" s="9">
        <f t="shared" si="5"/>
        <v>6440</v>
      </c>
      <c r="U8" s="9">
        <f t="shared" si="6"/>
        <v>21342</v>
      </c>
      <c r="V8" s="9">
        <f t="shared" si="7"/>
        <v>17432</v>
      </c>
    </row>
    <row r="9" spans="1:22" x14ac:dyDescent="0.35">
      <c r="A9" s="6">
        <v>45664</v>
      </c>
      <c r="B9" s="7">
        <f>Table234534568791112151416171819202122232425262728345678910113456789101112678[[#This Row],[Profit]]-Table234534568791112151416171819202122232425262728345678910113456789101112678[[#This Row],[Mulbhag]]</f>
        <v>2818</v>
      </c>
      <c r="C9" s="43">
        <f>Table234534568791112151416171819202122232425262728345678910113456789101112678[[#This Row],[Profit]]/3</f>
        <v>1409</v>
      </c>
      <c r="D9" s="7">
        <f t="shared" si="0"/>
        <v>4227</v>
      </c>
      <c r="E9" s="7">
        <f t="shared" si="1"/>
        <v>9863</v>
      </c>
      <c r="F9" s="7">
        <f t="shared" si="2"/>
        <v>14090</v>
      </c>
      <c r="G9" s="7">
        <v>12490</v>
      </c>
      <c r="H9" s="7">
        <v>1600</v>
      </c>
      <c r="I9" s="7">
        <v>37405</v>
      </c>
      <c r="J9" s="7"/>
      <c r="K9" s="7">
        <f>Table234534568791112151416171819202122232425262728345678910113456789101112678[[#This Row],[Account Transfer]]-Table234534568791112151416171819202122232425262728345678910113456789101112678[[#This Row],[Expense Online]]</f>
        <v>1600</v>
      </c>
      <c r="L9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-29142</v>
      </c>
      <c r="M9" s="7">
        <f>Table234534568791112151416171819202122232425262728345678910113456789101112678[[#This Row],[Cash]]-Table234534568791112151416171819202122232425262728345678910113456789101112678[[#This Row],[Expense]]</f>
        <v>-24915</v>
      </c>
      <c r="O9" s="10">
        <f t="shared" si="3"/>
        <v>45664</v>
      </c>
      <c r="P9" s="11">
        <f t="shared" si="9"/>
        <v>1409</v>
      </c>
      <c r="Q9" s="11">
        <f t="shared" si="10"/>
        <v>4227</v>
      </c>
      <c r="R9" s="11">
        <f t="shared" si="4"/>
        <v>9863</v>
      </c>
      <c r="S9" s="11">
        <f t="shared" si="8"/>
        <v>14090</v>
      </c>
      <c r="T9" s="11">
        <f t="shared" si="5"/>
        <v>12490</v>
      </c>
      <c r="U9" s="11">
        <f t="shared" si="6"/>
        <v>1600</v>
      </c>
      <c r="V9" s="11">
        <f t="shared" si="7"/>
        <v>37405</v>
      </c>
    </row>
    <row r="10" spans="1:22" x14ac:dyDescent="0.35">
      <c r="A10" s="6">
        <v>45665</v>
      </c>
      <c r="B10" s="7">
        <f>Table234534568791112151416171819202122232425262728345678910113456789101112678[[#This Row],[Profit]]-Table234534568791112151416171819202122232425262728345678910113456789101112678[[#This Row],[Mulbhag]]</f>
        <v>4748</v>
      </c>
      <c r="C10" s="43">
        <f>Table234534568791112151416171819202122232425262728345678910113456789101112678[[#This Row],[Profit]]/3</f>
        <v>2374</v>
      </c>
      <c r="D10" s="7">
        <f t="shared" si="0"/>
        <v>7122</v>
      </c>
      <c r="E10" s="7">
        <f t="shared" si="1"/>
        <v>16618</v>
      </c>
      <c r="F10" s="7">
        <f t="shared" si="2"/>
        <v>23740</v>
      </c>
      <c r="G10" s="7">
        <v>13870</v>
      </c>
      <c r="H10" s="7">
        <v>9870</v>
      </c>
      <c r="I10" s="7">
        <v>1800</v>
      </c>
      <c r="J10" s="7"/>
      <c r="K10" s="7">
        <f>Table234534568791112151416171819202122232425262728345678910113456789101112678[[#This Row],[Account Transfer]]-Table234534568791112151416171819202122232425262728345678910113456789101112678[[#This Row],[Expense Online]]</f>
        <v>9870</v>
      </c>
      <c r="L10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4948</v>
      </c>
      <c r="M10" s="7">
        <f>Table234534568791112151416171819202122232425262728345678910113456789101112678[[#This Row],[Cash]]-Table234534568791112151416171819202122232425262728345678910113456789101112678[[#This Row],[Expense]]</f>
        <v>12070</v>
      </c>
      <c r="O10" s="12" t="s">
        <v>3</v>
      </c>
      <c r="P10" s="12">
        <f>SUM(P3:P9)</f>
        <v>13768.6</v>
      </c>
      <c r="Q10" s="12">
        <f>SUM(Q3:Q9)</f>
        <v>41305.800000000003</v>
      </c>
      <c r="R10" s="12">
        <f>SUM(R2:R9)</f>
        <v>96380.200000000012</v>
      </c>
      <c r="S10" s="12">
        <f>SUM(S2:S9)</f>
        <v>137686</v>
      </c>
      <c r="T10" s="12">
        <f>SUM(T2:T9)</f>
        <v>65104</v>
      </c>
      <c r="U10" s="12">
        <f>SUM(U2:U9)</f>
        <v>72582</v>
      </c>
      <c r="V10" s="12">
        <f>SUM(V2:V9)</f>
        <v>65777</v>
      </c>
    </row>
    <row r="11" spans="1:22" x14ac:dyDescent="0.35">
      <c r="A11" s="6">
        <v>45666</v>
      </c>
      <c r="B11" s="7">
        <f>Table234534568791112151416171819202122232425262728345678910113456789101112678[[#This Row],[Profit]]-Table234534568791112151416171819202122232425262728345678910113456789101112678[[#This Row],[Mulbhag]]</f>
        <v>6359.1999999999989</v>
      </c>
      <c r="C11" s="43">
        <f>Table234534568791112151416171819202122232425262728345678910113456789101112678[[#This Row],[Profit]]/3</f>
        <v>3179.6</v>
      </c>
      <c r="D11" s="7">
        <f t="shared" si="0"/>
        <v>9538.7999999999993</v>
      </c>
      <c r="E11" s="7">
        <f t="shared" si="1"/>
        <v>22257.200000000001</v>
      </c>
      <c r="F11" s="7">
        <f t="shared" si="2"/>
        <v>31796</v>
      </c>
      <c r="G11" s="7">
        <v>3214</v>
      </c>
      <c r="H11" s="7">
        <v>28582</v>
      </c>
      <c r="I11" s="7">
        <v>10230</v>
      </c>
      <c r="J11" s="7"/>
      <c r="K11" s="7">
        <f>Table234534568791112151416171819202122232425262728345678910113456789101112678[[#This Row],[Account Transfer]]-Table234534568791112151416171819202122232425262728345678910113456789101112678[[#This Row],[Expense Online]]</f>
        <v>28582</v>
      </c>
      <c r="L11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-16554.8</v>
      </c>
      <c r="M11" s="7">
        <f>Table234534568791112151416171819202122232425262728345678910113456789101112678[[#This Row],[Cash]]-Table234534568791112151416171819202122232425262728345678910113456789101112678[[#This Row],[Expense]]</f>
        <v>-7016</v>
      </c>
      <c r="O11" s="12" t="s">
        <v>7</v>
      </c>
      <c r="P11" s="12"/>
      <c r="Q11" s="12">
        <f>Q10/3</f>
        <v>13768.6</v>
      </c>
      <c r="R11" s="12"/>
      <c r="S11" s="12"/>
      <c r="T11" s="11"/>
      <c r="U11" s="11"/>
      <c r="V11" s="11"/>
    </row>
    <row r="12" spans="1:22" x14ac:dyDescent="0.35">
      <c r="A12" s="6">
        <v>45667</v>
      </c>
      <c r="B12" s="7">
        <f>Table234534568791112151416171819202122232425262728345678910113456789101112678[[#This Row],[Profit]]-Table234534568791112151416171819202122232425262728345678910113456789101112678[[#This Row],[Mulbhag]]</f>
        <v>3293.2</v>
      </c>
      <c r="C12" s="43">
        <f>Table234534568791112151416171819202122232425262728345678910113456789101112678[[#This Row],[Profit]]/3</f>
        <v>1646.6000000000001</v>
      </c>
      <c r="D12" s="7">
        <f t="shared" si="0"/>
        <v>4939.8</v>
      </c>
      <c r="E12" s="7">
        <f t="shared" si="1"/>
        <v>11526.2</v>
      </c>
      <c r="F12" s="7">
        <f t="shared" si="2"/>
        <v>16466</v>
      </c>
      <c r="G12" s="7">
        <v>5880</v>
      </c>
      <c r="H12" s="7">
        <v>10586</v>
      </c>
      <c r="I12" s="7">
        <v>2540</v>
      </c>
      <c r="J12" s="7"/>
      <c r="K12" s="7">
        <f>Table234534568791112151416171819202122232425262728345678910113456789101112678[[#This Row],[Account Transfer]]-Table234534568791112151416171819202122232425262728345678910113456789101112678[[#This Row],[Expense Online]]</f>
        <v>10586</v>
      </c>
      <c r="L12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-1599.8000000000002</v>
      </c>
      <c r="M12" s="7">
        <f>Table234534568791112151416171819202122232425262728345678910113456789101112678[[#This Row],[Cash]]-Table234534568791112151416171819202122232425262728345678910113456789101112678[[#This Row],[Expense]]</f>
        <v>3340</v>
      </c>
    </row>
    <row r="13" spans="1:22" x14ac:dyDescent="0.35">
      <c r="A13" s="6">
        <v>45668</v>
      </c>
      <c r="B13" s="7">
        <f>Table234534568791112151416171819202122232425262728345678910113456789101112678[[#This Row],[Profit]]-Table234534568791112151416171819202122232425262728345678910113456789101112678[[#This Row],[Mulbhag]]</f>
        <v>7081</v>
      </c>
      <c r="C13" s="43">
        <f>Table234534568791112151416171819202122232425262728345678910113456789101112678[[#This Row],[Profit]]/3</f>
        <v>3540.5</v>
      </c>
      <c r="D13" s="7">
        <f t="shared" si="0"/>
        <v>10621.5</v>
      </c>
      <c r="E13" s="7">
        <f t="shared" si="1"/>
        <v>24783.5</v>
      </c>
      <c r="F13" s="7">
        <f t="shared" si="2"/>
        <v>35405</v>
      </c>
      <c r="G13" s="7">
        <v>11165</v>
      </c>
      <c r="H13" s="7">
        <v>24240</v>
      </c>
      <c r="I13" s="7">
        <v>3115</v>
      </c>
      <c r="J13" s="7"/>
      <c r="K13" s="7">
        <f>Table234534568791112151416171819202122232425262728345678910113456789101112678[[#This Row],[Account Transfer]]-Table234534568791112151416171819202122232425262728345678910113456789101112678[[#This Row],[Expense Online]]</f>
        <v>24240</v>
      </c>
      <c r="L13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-2571.5</v>
      </c>
      <c r="M13" s="7">
        <f>Table234534568791112151416171819202122232425262728345678910113456789101112678[[#This Row],[Cash]]-Table234534568791112151416171819202122232425262728345678910113456789101112678[[#This Row],[Expense]]</f>
        <v>8050</v>
      </c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45669</v>
      </c>
      <c r="B14" s="7">
        <f>Table234534568791112151416171819202122232425262728345678910113456789101112678[[#This Row],[Profit]]-Table234534568791112151416171819202122232425262728345678910113456789101112678[[#This Row],[Mulbhag]]</f>
        <v>6267.1999999999989</v>
      </c>
      <c r="C14" s="43">
        <f>Table234534568791112151416171819202122232425262728345678910113456789101112678[[#This Row],[Profit]]/3</f>
        <v>3133.6</v>
      </c>
      <c r="D14" s="7">
        <f t="shared" si="0"/>
        <v>9400.7999999999993</v>
      </c>
      <c r="E14" s="7">
        <f t="shared" si="1"/>
        <v>21935.200000000001</v>
      </c>
      <c r="F14" s="7">
        <f t="shared" si="2"/>
        <v>31336</v>
      </c>
      <c r="G14" s="7">
        <v>14145</v>
      </c>
      <c r="H14" s="7">
        <v>17191</v>
      </c>
      <c r="I14" s="7">
        <v>950</v>
      </c>
      <c r="J14" s="7"/>
      <c r="K14" s="7">
        <f>Table234534568791112151416171819202122232425262728345678910113456789101112678[[#This Row],[Account Transfer]]-Table234534568791112151416171819202122232425262728345678910113456789101112678[[#This Row],[Expense Online]]</f>
        <v>17191</v>
      </c>
      <c r="L14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3794.2000000000007</v>
      </c>
      <c r="M14" s="7">
        <f>Table234534568791112151416171819202122232425262728345678910113456789101112678[[#This Row],[Cash]]-Table234534568791112151416171819202122232425262728345678910113456789101112678[[#This Row],[Expense]]</f>
        <v>13195</v>
      </c>
      <c r="O14" s="10">
        <f t="shared" ref="O14:O20" si="11">A10</f>
        <v>45665</v>
      </c>
      <c r="P14" s="11">
        <f>Q14/3</f>
        <v>2374</v>
      </c>
      <c r="Q14" s="11">
        <f>S14*0.3</f>
        <v>7122</v>
      </c>
      <c r="R14" s="11">
        <f t="shared" ref="R14:R20" si="12">S14-Q14</f>
        <v>16618</v>
      </c>
      <c r="S14" s="11">
        <f>T14+U14</f>
        <v>23740</v>
      </c>
      <c r="T14" s="11">
        <f t="shared" ref="T14:T20" si="13">VLOOKUP(O14,$A$1:$J$34,7,0)</f>
        <v>13870</v>
      </c>
      <c r="U14" s="11">
        <f t="shared" ref="U14:U20" si="14">VLOOKUP(O14,$A$1:$J$34,8,0)</f>
        <v>9870</v>
      </c>
      <c r="V14" s="11">
        <f t="shared" ref="V14:V20" si="15">VLOOKUP(O14,$A$1:$J$34,9,0)</f>
        <v>1800</v>
      </c>
    </row>
    <row r="15" spans="1:22" x14ac:dyDescent="0.35">
      <c r="A15" s="6">
        <v>45670</v>
      </c>
      <c r="B15" s="7">
        <f>Table234534568791112151416171819202122232425262728345678910113456789101112678[[#This Row],[Profit]]-Table234534568791112151416171819202122232425262728345678910113456789101112678[[#This Row],[Mulbhag]]</f>
        <v>4210</v>
      </c>
      <c r="C15" s="43">
        <f>Table234534568791112151416171819202122232425262728345678910113456789101112678[[#This Row],[Profit]]/3</f>
        <v>2105</v>
      </c>
      <c r="D15" s="7">
        <f t="shared" si="0"/>
        <v>6315</v>
      </c>
      <c r="E15" s="7">
        <f t="shared" si="1"/>
        <v>14735</v>
      </c>
      <c r="F15" s="7">
        <f t="shared" si="2"/>
        <v>21050</v>
      </c>
      <c r="G15" s="7">
        <v>8680</v>
      </c>
      <c r="H15" s="7">
        <v>12370</v>
      </c>
      <c r="I15" s="7">
        <v>5080</v>
      </c>
      <c r="J15" s="7"/>
      <c r="K15" s="7">
        <f>Table234534568791112151416171819202122232425262728345678910113456789101112678[[#This Row],[Account Transfer]]-Table234534568791112151416171819202122232425262728345678910113456789101112678[[#This Row],[Expense Online]]</f>
        <v>12370</v>
      </c>
      <c r="L15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-2715</v>
      </c>
      <c r="M15" s="7">
        <f>Table234534568791112151416171819202122232425262728345678910113456789101112678[[#This Row],[Cash]]-Table234534568791112151416171819202122232425262728345678910113456789101112678[[#This Row],[Expense]]</f>
        <v>3600</v>
      </c>
      <c r="O15" s="8">
        <f t="shared" si="11"/>
        <v>45666</v>
      </c>
      <c r="P15" s="9">
        <f>Q15/3</f>
        <v>3179.6</v>
      </c>
      <c r="Q15" s="9">
        <f>S15*0.3</f>
        <v>9538.7999999999993</v>
      </c>
      <c r="R15" s="9">
        <f t="shared" si="12"/>
        <v>22257.200000000001</v>
      </c>
      <c r="S15" s="9">
        <f t="shared" ref="S15:S20" si="16">T15+U15</f>
        <v>31796</v>
      </c>
      <c r="T15" s="9">
        <f t="shared" si="13"/>
        <v>3214</v>
      </c>
      <c r="U15" s="9">
        <f t="shared" si="14"/>
        <v>28582</v>
      </c>
      <c r="V15" s="9">
        <f t="shared" si="15"/>
        <v>10230</v>
      </c>
    </row>
    <row r="16" spans="1:22" x14ac:dyDescent="0.35">
      <c r="A16" s="6">
        <v>45671</v>
      </c>
      <c r="B16" s="7">
        <f>Table234534568791112151416171819202122232425262728345678910113456789101112678[[#This Row],[Profit]]-Table234534568791112151416171819202122232425262728345678910113456789101112678[[#This Row],[Mulbhag]]</f>
        <v>3849.2</v>
      </c>
      <c r="C16" s="43">
        <f>Table234534568791112151416171819202122232425262728345678910113456789101112678[[#This Row],[Profit]]/3</f>
        <v>1924.6000000000001</v>
      </c>
      <c r="D16" s="7">
        <f t="shared" si="0"/>
        <v>5773.8</v>
      </c>
      <c r="E16" s="7">
        <f t="shared" si="1"/>
        <v>13472.2</v>
      </c>
      <c r="F16" s="7">
        <f t="shared" si="2"/>
        <v>19246</v>
      </c>
      <c r="G16" s="7">
        <v>6080</v>
      </c>
      <c r="H16" s="7">
        <v>13166</v>
      </c>
      <c r="I16" s="7">
        <v>6160</v>
      </c>
      <c r="J16" s="7"/>
      <c r="K16" s="7">
        <f>Table234534568791112151416171819202122232425262728345678910113456789101112678[[#This Row],[Account Transfer]]-Table234534568791112151416171819202122232425262728345678910113456789101112678[[#This Row],[Expense Online]]</f>
        <v>13166</v>
      </c>
      <c r="L16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-5853.8</v>
      </c>
      <c r="M16" s="7">
        <f>Table234534568791112151416171819202122232425262728345678910113456789101112678[[#This Row],[Cash]]-Table234534568791112151416171819202122232425262728345678910113456789101112678[[#This Row],[Expense]]</f>
        <v>-80</v>
      </c>
      <c r="O16" s="10">
        <f t="shared" si="11"/>
        <v>45667</v>
      </c>
      <c r="P16" s="11">
        <f t="shared" ref="P16:P20" si="17">Q16/3</f>
        <v>1646.6000000000001</v>
      </c>
      <c r="Q16" s="11">
        <f t="shared" ref="Q16:Q20" si="18">S16*0.3</f>
        <v>4939.8</v>
      </c>
      <c r="R16" s="11">
        <f t="shared" si="12"/>
        <v>11526.2</v>
      </c>
      <c r="S16" s="11">
        <f t="shared" si="16"/>
        <v>16466</v>
      </c>
      <c r="T16" s="11">
        <f t="shared" si="13"/>
        <v>5880</v>
      </c>
      <c r="U16" s="11">
        <f t="shared" si="14"/>
        <v>10586</v>
      </c>
      <c r="V16" s="11">
        <f t="shared" si="15"/>
        <v>2540</v>
      </c>
    </row>
    <row r="17" spans="1:22" x14ac:dyDescent="0.35">
      <c r="A17" s="6">
        <v>45672</v>
      </c>
      <c r="B17" s="7">
        <f>Table234534568791112151416171819202122232425262728345678910113456789101112678[[#This Row],[Profit]]-Table234534568791112151416171819202122232425262728345678910113456789101112678[[#This Row],[Mulbhag]]</f>
        <v>3169.5999999999995</v>
      </c>
      <c r="C17" s="43">
        <f>Table234534568791112151416171819202122232425262728345678910113456789101112678[[#This Row],[Profit]]/3</f>
        <v>1584.8</v>
      </c>
      <c r="D17" s="7">
        <f t="shared" si="0"/>
        <v>4754.3999999999996</v>
      </c>
      <c r="E17" s="7">
        <f t="shared" si="1"/>
        <v>11093.6</v>
      </c>
      <c r="F17" s="7">
        <f t="shared" si="2"/>
        <v>15848</v>
      </c>
      <c r="G17" s="7">
        <v>8868</v>
      </c>
      <c r="H17" s="7">
        <v>6980</v>
      </c>
      <c r="I17" s="7">
        <v>1500</v>
      </c>
      <c r="J17" s="7"/>
      <c r="K17" s="7">
        <f>Table234534568791112151416171819202122232425262728345678910113456789101112678[[#This Row],[Account Transfer]]-Table234534568791112151416171819202122232425262728345678910113456789101112678[[#This Row],[Expense Online]]</f>
        <v>6980</v>
      </c>
      <c r="L17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2613.6000000000004</v>
      </c>
      <c r="M17" s="7">
        <f>Table234534568791112151416171819202122232425262728345678910113456789101112678[[#This Row],[Cash]]-Table234534568791112151416171819202122232425262728345678910113456789101112678[[#This Row],[Expense]]</f>
        <v>7368</v>
      </c>
      <c r="O17" s="8">
        <f t="shared" si="11"/>
        <v>45668</v>
      </c>
      <c r="P17" s="9">
        <f t="shared" si="17"/>
        <v>3540.5</v>
      </c>
      <c r="Q17" s="9">
        <f t="shared" si="18"/>
        <v>10621.5</v>
      </c>
      <c r="R17" s="9">
        <f t="shared" si="12"/>
        <v>24783.5</v>
      </c>
      <c r="S17" s="9">
        <f t="shared" si="16"/>
        <v>35405</v>
      </c>
      <c r="T17" s="9">
        <f t="shared" si="13"/>
        <v>11165</v>
      </c>
      <c r="U17" s="9">
        <f t="shared" si="14"/>
        <v>24240</v>
      </c>
      <c r="V17" s="9">
        <f t="shared" si="15"/>
        <v>3115</v>
      </c>
    </row>
    <row r="18" spans="1:22" x14ac:dyDescent="0.35">
      <c r="A18" s="6">
        <v>45673</v>
      </c>
      <c r="B18" s="7">
        <f>Table234534568791112151416171819202122232425262728345678910113456789101112678[[#This Row],[Profit]]-Table234534568791112151416171819202122232425262728345678910113456789101112678[[#This Row],[Mulbhag]]</f>
        <v>6724</v>
      </c>
      <c r="C18" s="43">
        <f>Table234534568791112151416171819202122232425262728345678910113456789101112678[[#This Row],[Profit]]/3</f>
        <v>3362</v>
      </c>
      <c r="D18" s="7">
        <f t="shared" si="0"/>
        <v>10086</v>
      </c>
      <c r="E18" s="7">
        <f t="shared" si="1"/>
        <v>23534</v>
      </c>
      <c r="F18" s="7">
        <f t="shared" si="2"/>
        <v>33620</v>
      </c>
      <c r="G18" s="7">
        <v>9360</v>
      </c>
      <c r="H18" s="7">
        <v>24260</v>
      </c>
      <c r="I18" s="7">
        <v>7100</v>
      </c>
      <c r="J18" s="7"/>
      <c r="K18" s="7">
        <f>Table234534568791112151416171819202122232425262728345678910113456789101112678[[#This Row],[Account Transfer]]-Table234534568791112151416171819202122232425262728345678910113456789101112678[[#This Row],[Expense Online]]</f>
        <v>24260</v>
      </c>
      <c r="L18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-7826</v>
      </c>
      <c r="M18" s="7">
        <f>Table234534568791112151416171819202122232425262728345678910113456789101112678[[#This Row],[Cash]]-Table234534568791112151416171819202122232425262728345678910113456789101112678[[#This Row],[Expense]]</f>
        <v>2260</v>
      </c>
      <c r="O18" s="10">
        <f t="shared" si="11"/>
        <v>45669</v>
      </c>
      <c r="P18" s="11">
        <f t="shared" si="17"/>
        <v>3133.6</v>
      </c>
      <c r="Q18" s="11">
        <f t="shared" si="18"/>
        <v>9400.7999999999993</v>
      </c>
      <c r="R18" s="11">
        <f t="shared" si="12"/>
        <v>21935.200000000001</v>
      </c>
      <c r="S18" s="11">
        <f t="shared" si="16"/>
        <v>31336</v>
      </c>
      <c r="T18" s="11">
        <f t="shared" si="13"/>
        <v>14145</v>
      </c>
      <c r="U18" s="11">
        <f t="shared" si="14"/>
        <v>17191</v>
      </c>
      <c r="V18" s="11">
        <f t="shared" si="15"/>
        <v>950</v>
      </c>
    </row>
    <row r="19" spans="1:22" x14ac:dyDescent="0.35">
      <c r="A19" s="6">
        <v>45674</v>
      </c>
      <c r="B19" s="7">
        <f>Table234534568791112151416171819202122232425262728345678910113456789101112678[[#This Row],[Profit]]-Table234534568791112151416171819202122232425262728345678910113456789101112678[[#This Row],[Mulbhag]]</f>
        <v>3818</v>
      </c>
      <c r="C19" s="43">
        <f>Table234534568791112151416171819202122232425262728345678910113456789101112678[[#This Row],[Profit]]/3</f>
        <v>1909</v>
      </c>
      <c r="D19" s="7">
        <f t="shared" si="0"/>
        <v>5727</v>
      </c>
      <c r="E19" s="7">
        <f t="shared" si="1"/>
        <v>13363</v>
      </c>
      <c r="F19" s="7">
        <f t="shared" si="2"/>
        <v>19090</v>
      </c>
      <c r="G19" s="7">
        <v>14050</v>
      </c>
      <c r="H19" s="7">
        <v>5040</v>
      </c>
      <c r="I19" s="7">
        <v>4330</v>
      </c>
      <c r="J19" s="7"/>
      <c r="K19" s="7">
        <f>Table234534568791112151416171819202122232425262728345678910113456789101112678[[#This Row],[Account Transfer]]-Table234534568791112151416171819202122232425262728345678910113456789101112678[[#This Row],[Expense Online]]</f>
        <v>5040</v>
      </c>
      <c r="L19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3993</v>
      </c>
      <c r="M19" s="7">
        <f>Table234534568791112151416171819202122232425262728345678910113456789101112678[[#This Row],[Cash]]-Table234534568791112151416171819202122232425262728345678910113456789101112678[[#This Row],[Expense]]</f>
        <v>9720</v>
      </c>
      <c r="O19" s="8">
        <f t="shared" si="11"/>
        <v>45670</v>
      </c>
      <c r="P19" s="9">
        <f t="shared" si="17"/>
        <v>2105</v>
      </c>
      <c r="Q19" s="9">
        <f t="shared" si="18"/>
        <v>6315</v>
      </c>
      <c r="R19" s="9">
        <f t="shared" si="12"/>
        <v>14735</v>
      </c>
      <c r="S19" s="9">
        <f t="shared" si="16"/>
        <v>21050</v>
      </c>
      <c r="T19" s="9">
        <f t="shared" si="13"/>
        <v>8680</v>
      </c>
      <c r="U19" s="9">
        <f t="shared" si="14"/>
        <v>12370</v>
      </c>
      <c r="V19" s="9">
        <f t="shared" si="15"/>
        <v>5080</v>
      </c>
    </row>
    <row r="20" spans="1:22" x14ac:dyDescent="0.35">
      <c r="A20" s="6">
        <v>45675</v>
      </c>
      <c r="B20" s="7">
        <f>Table234534568791112151416171819202122232425262728345678910113456789101112678[[#This Row],[Profit]]-Table234534568791112151416171819202122232425262728345678910113456789101112678[[#This Row],[Mulbhag]]</f>
        <v>2326.6000000000004</v>
      </c>
      <c r="C20" s="43">
        <f>Table234534568791112151416171819202122232425262728345678910113456789101112678[[#This Row],[Profit]]/3</f>
        <v>1163.3</v>
      </c>
      <c r="D20" s="7">
        <f t="shared" si="0"/>
        <v>3489.9</v>
      </c>
      <c r="E20" s="7">
        <f t="shared" si="1"/>
        <v>8143.1</v>
      </c>
      <c r="F20" s="7">
        <f t="shared" si="2"/>
        <v>11633</v>
      </c>
      <c r="G20" s="7">
        <v>5783</v>
      </c>
      <c r="H20" s="7">
        <v>5850</v>
      </c>
      <c r="I20" s="7">
        <v>130</v>
      </c>
      <c r="J20" s="7"/>
      <c r="K20" s="7">
        <f>Table234534568791112151416171819202122232425262728345678910113456789101112678[[#This Row],[Account Transfer]]-Table234534568791112151416171819202122232425262728345678910113456789101112678[[#This Row],[Expense Online]]</f>
        <v>5850</v>
      </c>
      <c r="L20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2163.0999999999995</v>
      </c>
      <c r="M20" s="7">
        <f>Table234534568791112151416171819202122232425262728345678910113456789101112678[[#This Row],[Cash]]-Table234534568791112151416171819202122232425262728345678910113456789101112678[[#This Row],[Expense]]</f>
        <v>5653</v>
      </c>
      <c r="O20" s="10">
        <f t="shared" si="11"/>
        <v>45671</v>
      </c>
      <c r="P20" s="11">
        <f t="shared" si="17"/>
        <v>1924.6000000000001</v>
      </c>
      <c r="Q20" s="11">
        <f t="shared" si="18"/>
        <v>5773.8</v>
      </c>
      <c r="R20" s="11">
        <f t="shared" si="12"/>
        <v>13472.2</v>
      </c>
      <c r="S20" s="11">
        <f t="shared" si="16"/>
        <v>19246</v>
      </c>
      <c r="T20" s="11">
        <f t="shared" si="13"/>
        <v>6080</v>
      </c>
      <c r="U20" s="11">
        <f t="shared" si="14"/>
        <v>13166</v>
      </c>
      <c r="V20" s="11">
        <f t="shared" si="15"/>
        <v>6160</v>
      </c>
    </row>
    <row r="21" spans="1:22" x14ac:dyDescent="0.35">
      <c r="A21" s="6">
        <v>45676</v>
      </c>
      <c r="B21" s="7">
        <f>Table234534568791112151416171819202122232425262728345678910113456789101112678[[#This Row],[Profit]]-Table234534568791112151416171819202122232425262728345678910113456789101112678[[#This Row],[Mulbhag]]</f>
        <v>540</v>
      </c>
      <c r="C21" s="43">
        <f>Table234534568791112151416171819202122232425262728345678910113456789101112678[[#This Row],[Profit]]/3</f>
        <v>270</v>
      </c>
      <c r="D21" s="7">
        <f t="shared" si="0"/>
        <v>810</v>
      </c>
      <c r="E21" s="7">
        <f t="shared" si="1"/>
        <v>1890</v>
      </c>
      <c r="F21" s="7">
        <f t="shared" si="2"/>
        <v>2700</v>
      </c>
      <c r="G21" s="7">
        <v>2200</v>
      </c>
      <c r="H21" s="7">
        <v>500</v>
      </c>
      <c r="I21" s="7">
        <v>600</v>
      </c>
      <c r="J21" s="7"/>
      <c r="K21" s="7">
        <f>Table234534568791112151416171819202122232425262728345678910113456789101112678[[#This Row],[Account Transfer]]-Table234534568791112151416171819202122232425262728345678910113456789101112678[[#This Row],[Expense Online]]</f>
        <v>500</v>
      </c>
      <c r="L21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790</v>
      </c>
      <c r="M21" s="7">
        <f>Table234534568791112151416171819202122232425262728345678910113456789101112678[[#This Row],[Cash]]-Table234534568791112151416171819202122232425262728345678910113456789101112678[[#This Row],[Expense]]</f>
        <v>1600</v>
      </c>
      <c r="O21" s="12" t="s">
        <v>3</v>
      </c>
      <c r="P21" s="12">
        <f>SUM(P14:P20)</f>
        <v>17903.900000000001</v>
      </c>
      <c r="Q21" s="12">
        <f t="shared" ref="Q21:V21" si="19">SUM(Q14:Q20)</f>
        <v>53711.7</v>
      </c>
      <c r="R21" s="12">
        <f t="shared" si="19"/>
        <v>125327.29999999999</v>
      </c>
      <c r="S21" s="12">
        <f t="shared" si="19"/>
        <v>179039</v>
      </c>
      <c r="T21" s="12">
        <f t="shared" si="19"/>
        <v>63034</v>
      </c>
      <c r="U21" s="12">
        <f t="shared" si="19"/>
        <v>116005</v>
      </c>
      <c r="V21" s="12">
        <f t="shared" si="19"/>
        <v>29875</v>
      </c>
    </row>
    <row r="22" spans="1:22" x14ac:dyDescent="0.35">
      <c r="A22" s="6">
        <v>45677</v>
      </c>
      <c r="B22" s="7">
        <f>Table234534568791112151416171819202122232425262728345678910113456789101112678[[#This Row],[Profit]]-Table234534568791112151416171819202122232425262728345678910113456789101112678[[#This Row],[Mulbhag]]</f>
        <v>4475.2000000000007</v>
      </c>
      <c r="C22" s="43">
        <f>Table234534568791112151416171819202122232425262728345678910113456789101112678[[#This Row],[Profit]]/3</f>
        <v>2237.6</v>
      </c>
      <c r="D22" s="7">
        <f t="shared" si="0"/>
        <v>6712.8</v>
      </c>
      <c r="E22" s="7">
        <f t="shared" si="1"/>
        <v>15663.2</v>
      </c>
      <c r="F22" s="7">
        <f t="shared" si="2"/>
        <v>22376</v>
      </c>
      <c r="G22" s="7">
        <v>200</v>
      </c>
      <c r="H22" s="7">
        <v>22176</v>
      </c>
      <c r="I22" s="7">
        <v>300</v>
      </c>
      <c r="J22" s="7"/>
      <c r="K22" s="7">
        <f>Table234534568791112151416171819202122232425262728345678910113456789101112678[[#This Row],[Account Transfer]]-Table234534568791112151416171819202122232425262728345678910113456789101112678[[#This Row],[Expense Online]]</f>
        <v>22176</v>
      </c>
      <c r="L22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-6812.8000000000011</v>
      </c>
      <c r="M22" s="7">
        <f>Table234534568791112151416171819202122232425262728345678910113456789101112678[[#This Row],[Cash]]-Table234534568791112151416171819202122232425262728345678910113456789101112678[[#This Row],[Expense]]</f>
        <v>-100</v>
      </c>
      <c r="O22" s="12" t="s">
        <v>7</v>
      </c>
      <c r="P22" s="12"/>
      <c r="Q22" s="12">
        <f>Q21/3</f>
        <v>17903.899999999998</v>
      </c>
      <c r="R22" s="12"/>
      <c r="S22" s="12">
        <f>R22+Q22</f>
        <v>17903.899999999998</v>
      </c>
      <c r="T22" s="11"/>
      <c r="U22" s="11"/>
      <c r="V22" s="11"/>
    </row>
    <row r="23" spans="1:22" x14ac:dyDescent="0.35">
      <c r="A23" s="6">
        <v>45678</v>
      </c>
      <c r="B23" s="7">
        <f>Table234534568791112151416171819202122232425262728345678910113456789101112678[[#This Row],[Profit]]-Table234534568791112151416171819202122232425262728345678910113456789101112678[[#This Row],[Mulbhag]]</f>
        <v>2066.1999999999998</v>
      </c>
      <c r="C23" s="43">
        <f>Table234534568791112151416171819202122232425262728345678910113456789101112678[[#This Row],[Profit]]/3</f>
        <v>1033.0999999999999</v>
      </c>
      <c r="D23" s="7">
        <f t="shared" si="0"/>
        <v>3099.2999999999997</v>
      </c>
      <c r="E23" s="7">
        <f t="shared" si="1"/>
        <v>7231.7000000000007</v>
      </c>
      <c r="F23" s="7">
        <f t="shared" si="2"/>
        <v>10331</v>
      </c>
      <c r="G23" s="7">
        <v>3630</v>
      </c>
      <c r="H23" s="7">
        <v>6701</v>
      </c>
      <c r="I23" s="7">
        <v>1390</v>
      </c>
      <c r="J23" s="7"/>
      <c r="K23" s="7">
        <f>Table234534568791112151416171819202122232425262728345678910113456789101112678[[#This Row],[Account Transfer]]-Table234534568791112151416171819202122232425262728345678910113456789101112678[[#This Row],[Expense Online]]</f>
        <v>6701</v>
      </c>
      <c r="L23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-859.29999999999973</v>
      </c>
      <c r="M23" s="7">
        <f>Table234534568791112151416171819202122232425262728345678910113456789101112678[[#This Row],[Cash]]-Table234534568791112151416171819202122232425262728345678910113456789101112678[[#This Row],[Expense]]</f>
        <v>2240</v>
      </c>
    </row>
    <row r="24" spans="1:22" x14ac:dyDescent="0.35">
      <c r="A24" s="6">
        <v>45679</v>
      </c>
      <c r="B24" s="7">
        <f>Table234534568791112151416171819202122232425262728345678910113456789101112678[[#This Row],[Profit]]-Table234534568791112151416171819202122232425262728345678910113456789101112678[[#This Row],[Mulbhag]]</f>
        <v>5079.6000000000004</v>
      </c>
      <c r="C24" s="43">
        <f>Table234534568791112151416171819202122232425262728345678910113456789101112678[[#This Row],[Profit]]/3</f>
        <v>2539.7999999999997</v>
      </c>
      <c r="D24" s="7">
        <f t="shared" si="0"/>
        <v>7619.4</v>
      </c>
      <c r="E24" s="7">
        <f t="shared" si="1"/>
        <v>17778.599999999999</v>
      </c>
      <c r="F24" s="7">
        <f t="shared" si="2"/>
        <v>25398</v>
      </c>
      <c r="G24" s="7">
        <v>9780</v>
      </c>
      <c r="H24" s="7">
        <v>15618</v>
      </c>
      <c r="I24" s="7">
        <v>3330</v>
      </c>
      <c r="J24" s="7"/>
      <c r="K24" s="7">
        <f>Table234534568791112151416171819202122232425262728345678910113456789101112678[[#This Row],[Account Transfer]]-Table234534568791112151416171819202122232425262728345678910113456789101112678[[#This Row],[Expense Online]]</f>
        <v>15618</v>
      </c>
      <c r="L24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-1169.3999999999996</v>
      </c>
      <c r="M24" s="7">
        <f>Table234534568791112151416171819202122232425262728345678910113456789101112678[[#This Row],[Cash]]-Table234534568791112151416171819202122232425262728345678910113456789101112678[[#This Row],[Expense]]</f>
        <v>6450</v>
      </c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45680</v>
      </c>
      <c r="B25" s="7">
        <f>Table234534568791112151416171819202122232425262728345678910113456789101112678[[#This Row],[Profit]]-Table234534568791112151416171819202122232425262728345678910113456789101112678[[#This Row],[Mulbhag]]</f>
        <v>5350</v>
      </c>
      <c r="C25" s="43">
        <f>Table234534568791112151416171819202122232425262728345678910113456789101112678[[#This Row],[Profit]]/3</f>
        <v>2675</v>
      </c>
      <c r="D25" s="7">
        <f t="shared" si="0"/>
        <v>8025</v>
      </c>
      <c r="E25" s="7">
        <f t="shared" si="1"/>
        <v>18725</v>
      </c>
      <c r="F25" s="7">
        <f t="shared" si="2"/>
        <v>26750</v>
      </c>
      <c r="G25" s="7">
        <v>12900</v>
      </c>
      <c r="H25" s="7">
        <v>13850</v>
      </c>
      <c r="I25" s="7">
        <v>7080</v>
      </c>
      <c r="J25" s="7"/>
      <c r="K25" s="7">
        <f>Table234534568791112151416171819202122232425262728345678910113456789101112678[[#This Row],[Account Transfer]]-Table234534568791112151416171819202122232425262728345678910113456789101112678[[#This Row],[Expense Online]]</f>
        <v>13850</v>
      </c>
      <c r="L25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-2205</v>
      </c>
      <c r="M25" s="7">
        <f>Table234534568791112151416171819202122232425262728345678910113456789101112678[[#This Row],[Cash]]-Table234534568791112151416171819202122232425262728345678910113456789101112678[[#This Row],[Expense]]</f>
        <v>5820</v>
      </c>
      <c r="O25" s="10">
        <f t="shared" ref="O25:O31" si="20">A17</f>
        <v>45672</v>
      </c>
      <c r="P25" s="11">
        <f>Q25/3</f>
        <v>1584.8</v>
      </c>
      <c r="Q25" s="11">
        <f>S25*0.3</f>
        <v>4754.3999999999996</v>
      </c>
      <c r="R25" s="11">
        <f t="shared" ref="R25:R31" si="21">S25-Q25</f>
        <v>11093.6</v>
      </c>
      <c r="S25" s="11">
        <f>T25+U25</f>
        <v>15848</v>
      </c>
      <c r="T25" s="11">
        <f t="shared" ref="T25:T31" si="22">VLOOKUP(O25,$A$1:$J$34,7,0)</f>
        <v>8868</v>
      </c>
      <c r="U25" s="11">
        <f t="shared" ref="U25:U31" si="23">VLOOKUP(O25,$A$1:$J$34,8,0)</f>
        <v>6980</v>
      </c>
      <c r="V25" s="11">
        <f t="shared" ref="V25:V31" si="24">VLOOKUP(O25,$A$1:$J$34,9,0)</f>
        <v>1500</v>
      </c>
    </row>
    <row r="26" spans="1:22" x14ac:dyDescent="0.35">
      <c r="A26" s="6">
        <v>45681</v>
      </c>
      <c r="B26" s="7">
        <f>Table234534568791112151416171819202122232425262728345678910113456789101112678[[#This Row],[Profit]]-Table234534568791112151416171819202122232425262728345678910113456789101112678[[#This Row],[Mulbhag]]</f>
        <v>1556</v>
      </c>
      <c r="C26" s="43">
        <f>Table234534568791112151416171819202122232425262728345678910113456789101112678[[#This Row],[Profit]]/3</f>
        <v>778</v>
      </c>
      <c r="D26" s="7">
        <f t="shared" si="0"/>
        <v>2334</v>
      </c>
      <c r="E26" s="7">
        <f t="shared" si="1"/>
        <v>5446</v>
      </c>
      <c r="F26" s="7">
        <f t="shared" si="2"/>
        <v>7780</v>
      </c>
      <c r="G26" s="7">
        <v>3580</v>
      </c>
      <c r="H26" s="7">
        <v>4200</v>
      </c>
      <c r="I26" s="7">
        <v>1800</v>
      </c>
      <c r="J26" s="7"/>
      <c r="K26" s="7">
        <f>Table234534568791112151416171819202122232425262728345678910113456789101112678[[#This Row],[Account Transfer]]-Table234534568791112151416171819202122232425262728345678910113456789101112678[[#This Row],[Expense Online]]</f>
        <v>4200</v>
      </c>
      <c r="L26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-554</v>
      </c>
      <c r="M26" s="7">
        <f>Table234534568791112151416171819202122232425262728345678910113456789101112678[[#This Row],[Cash]]-Table234534568791112151416171819202122232425262728345678910113456789101112678[[#This Row],[Expense]]</f>
        <v>1780</v>
      </c>
      <c r="O26" s="8">
        <f t="shared" si="20"/>
        <v>45673</v>
      </c>
      <c r="P26" s="9">
        <f>Q26/3</f>
        <v>3362</v>
      </c>
      <c r="Q26" s="9">
        <f>S26*0.3</f>
        <v>10086</v>
      </c>
      <c r="R26" s="9">
        <f t="shared" si="21"/>
        <v>23534</v>
      </c>
      <c r="S26" s="9">
        <f t="shared" ref="S26:S31" si="25">T26+U26</f>
        <v>33620</v>
      </c>
      <c r="T26" s="9">
        <f t="shared" si="22"/>
        <v>9360</v>
      </c>
      <c r="U26" s="9">
        <f t="shared" si="23"/>
        <v>24260</v>
      </c>
      <c r="V26" s="9">
        <f t="shared" si="24"/>
        <v>7100</v>
      </c>
    </row>
    <row r="27" spans="1:22" x14ac:dyDescent="0.35">
      <c r="A27" s="6">
        <v>45682</v>
      </c>
      <c r="B27" s="7">
        <f>Table234534568791112151416171819202122232425262728345678910113456789101112678[[#This Row],[Profit]]-Table234534568791112151416171819202122232425262728345678910113456789101112678[[#This Row],[Mulbhag]]</f>
        <v>3051</v>
      </c>
      <c r="C27" s="43">
        <f>Table234534568791112151416171819202122232425262728345678910113456789101112678[[#This Row],[Profit]]/3</f>
        <v>1525.5</v>
      </c>
      <c r="D27" s="7">
        <f t="shared" si="0"/>
        <v>4576.5</v>
      </c>
      <c r="E27" s="7">
        <f t="shared" si="1"/>
        <v>10678.5</v>
      </c>
      <c r="F27" s="7">
        <f t="shared" si="2"/>
        <v>15255</v>
      </c>
      <c r="G27" s="7">
        <v>4845</v>
      </c>
      <c r="H27" s="7">
        <v>10410</v>
      </c>
      <c r="I27" s="7">
        <v>25550</v>
      </c>
      <c r="J27" s="7"/>
      <c r="K27" s="7">
        <f>Table234534568791112151416171819202122232425262728345678910113456789101112678[[#This Row],[Account Transfer]]-Table234534568791112151416171819202122232425262728345678910113456789101112678[[#This Row],[Expense Online]]</f>
        <v>10410</v>
      </c>
      <c r="L27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-25281.5</v>
      </c>
      <c r="M27" s="7">
        <f>Table234534568791112151416171819202122232425262728345678910113456789101112678[[#This Row],[Cash]]-Table234534568791112151416171819202122232425262728345678910113456789101112678[[#This Row],[Expense]]</f>
        <v>-20705</v>
      </c>
      <c r="O27" s="10">
        <f t="shared" si="20"/>
        <v>45674</v>
      </c>
      <c r="P27" s="11">
        <f t="shared" ref="P27:P31" si="26">Q27/3</f>
        <v>1909</v>
      </c>
      <c r="Q27" s="11">
        <f t="shared" ref="Q27:Q31" si="27">S27*0.3</f>
        <v>5727</v>
      </c>
      <c r="R27" s="11">
        <f t="shared" si="21"/>
        <v>13363</v>
      </c>
      <c r="S27" s="11">
        <f t="shared" si="25"/>
        <v>19090</v>
      </c>
      <c r="T27" s="11">
        <f t="shared" si="22"/>
        <v>14050</v>
      </c>
      <c r="U27" s="11">
        <f t="shared" si="23"/>
        <v>5040</v>
      </c>
      <c r="V27" s="11">
        <f t="shared" si="24"/>
        <v>4330</v>
      </c>
    </row>
    <row r="28" spans="1:22" x14ac:dyDescent="0.35">
      <c r="A28" s="6">
        <v>45683</v>
      </c>
      <c r="B28" s="7">
        <f>Table234534568791112151416171819202122232425262728345678910113456789101112678[[#This Row],[Profit]]-Table234534568791112151416171819202122232425262728345678910113456789101112678[[#This Row],[Mulbhag]]</f>
        <v>5738</v>
      </c>
      <c r="C28" s="43">
        <f>Table234534568791112151416171819202122232425262728345678910113456789101112678[[#This Row],[Profit]]/3</f>
        <v>2869</v>
      </c>
      <c r="D28" s="7">
        <f t="shared" si="0"/>
        <v>8607</v>
      </c>
      <c r="E28" s="7">
        <f t="shared" si="1"/>
        <v>20083</v>
      </c>
      <c r="F28" s="7">
        <f t="shared" si="2"/>
        <v>28690</v>
      </c>
      <c r="G28" s="7">
        <v>3400</v>
      </c>
      <c r="H28" s="7">
        <v>25290</v>
      </c>
      <c r="I28" s="7">
        <v>2420</v>
      </c>
      <c r="J28" s="7"/>
      <c r="K28" s="7">
        <f>Table234534568791112151416171819202122232425262728345678910113456789101112678[[#This Row],[Account Transfer]]-Table234534568791112151416171819202122232425262728345678910113456789101112678[[#This Row],[Expense Online]]</f>
        <v>25290</v>
      </c>
      <c r="L28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-7627</v>
      </c>
      <c r="M28" s="7">
        <f>Table234534568791112151416171819202122232425262728345678910113456789101112678[[#This Row],[Cash]]-Table234534568791112151416171819202122232425262728345678910113456789101112678[[#This Row],[Expense]]</f>
        <v>980</v>
      </c>
      <c r="O28" s="8">
        <f t="shared" si="20"/>
        <v>45675</v>
      </c>
      <c r="P28" s="9">
        <f t="shared" si="26"/>
        <v>1163.3</v>
      </c>
      <c r="Q28" s="9">
        <f t="shared" si="27"/>
        <v>3489.9</v>
      </c>
      <c r="R28" s="9">
        <f t="shared" si="21"/>
        <v>8143.1</v>
      </c>
      <c r="S28" s="9">
        <f t="shared" si="25"/>
        <v>11633</v>
      </c>
      <c r="T28" s="9">
        <f t="shared" si="22"/>
        <v>5783</v>
      </c>
      <c r="U28" s="9">
        <f t="shared" si="23"/>
        <v>5850</v>
      </c>
      <c r="V28" s="9">
        <f t="shared" si="24"/>
        <v>130</v>
      </c>
    </row>
    <row r="29" spans="1:22" x14ac:dyDescent="0.35">
      <c r="A29" s="6">
        <v>45684</v>
      </c>
      <c r="B29" s="7">
        <f>Table234534568791112151416171819202122232425262728345678910113456789101112678[[#This Row],[Profit]]-Table234534568791112151416171819202122232425262728345678910113456789101112678[[#This Row],[Mulbhag]]</f>
        <v>4120</v>
      </c>
      <c r="C29" s="43">
        <f>Table234534568791112151416171819202122232425262728345678910113456789101112678[[#This Row],[Profit]]/3</f>
        <v>2060</v>
      </c>
      <c r="D29" s="7">
        <f t="shared" si="0"/>
        <v>6180</v>
      </c>
      <c r="E29" s="7">
        <f t="shared" si="1"/>
        <v>14420</v>
      </c>
      <c r="F29" s="7">
        <f t="shared" si="2"/>
        <v>20600</v>
      </c>
      <c r="G29" s="7">
        <v>3980</v>
      </c>
      <c r="H29" s="7">
        <v>16620</v>
      </c>
      <c r="I29" s="7">
        <v>1690</v>
      </c>
      <c r="J29" s="7"/>
      <c r="K29" s="7">
        <f>Table234534568791112151416171819202122232425262728345678910113456789101112678[[#This Row],[Account Transfer]]-Table234534568791112151416171819202122232425262728345678910113456789101112678[[#This Row],[Expense Online]]</f>
        <v>16620</v>
      </c>
      <c r="L29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-3890</v>
      </c>
      <c r="M29" s="7">
        <f>Table234534568791112151416171819202122232425262728345678910113456789101112678[[#This Row],[Cash]]-Table234534568791112151416171819202122232425262728345678910113456789101112678[[#This Row],[Expense]]</f>
        <v>2290</v>
      </c>
      <c r="O29" s="10">
        <f t="shared" si="20"/>
        <v>45676</v>
      </c>
      <c r="P29" s="11">
        <f t="shared" si="26"/>
        <v>270</v>
      </c>
      <c r="Q29" s="11">
        <f t="shared" si="27"/>
        <v>810</v>
      </c>
      <c r="R29" s="11">
        <f t="shared" si="21"/>
        <v>1890</v>
      </c>
      <c r="S29" s="11">
        <f t="shared" si="25"/>
        <v>2700</v>
      </c>
      <c r="T29" s="11">
        <f t="shared" si="22"/>
        <v>2200</v>
      </c>
      <c r="U29" s="11">
        <f t="shared" si="23"/>
        <v>500</v>
      </c>
      <c r="V29" s="11">
        <f t="shared" si="24"/>
        <v>600</v>
      </c>
    </row>
    <row r="30" spans="1:22" x14ac:dyDescent="0.35">
      <c r="A30" s="6">
        <v>45685</v>
      </c>
      <c r="B30" s="7">
        <f>Table234534568791112151416171819202122232425262728345678910113456789101112678[[#This Row],[Profit]]-Table234534568791112151416171819202122232425262728345678910113456789101112678[[#This Row],[Mulbhag]]</f>
        <v>9683.4000000000015</v>
      </c>
      <c r="C30" s="43">
        <f>Table234534568791112151416171819202122232425262728345678910113456789101112678[[#This Row],[Profit]]/3</f>
        <v>4841.7</v>
      </c>
      <c r="D30" s="7">
        <f t="shared" si="0"/>
        <v>14525.1</v>
      </c>
      <c r="E30" s="7">
        <f t="shared" si="1"/>
        <v>33891.9</v>
      </c>
      <c r="F30" s="7">
        <f t="shared" si="2"/>
        <v>48417</v>
      </c>
      <c r="G30" s="7">
        <v>37110</v>
      </c>
      <c r="H30" s="7">
        <v>11307</v>
      </c>
      <c r="I30" s="7">
        <v>1110</v>
      </c>
      <c r="J30" s="7"/>
      <c r="K30" s="7">
        <f>Table234534568791112151416171819202122232425262728345678910113456789101112678[[#This Row],[Account Transfer]]-Table234534568791112151416171819202122232425262728345678910113456789101112678[[#This Row],[Expense Online]]</f>
        <v>11307</v>
      </c>
      <c r="L30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21474.899999999998</v>
      </c>
      <c r="M30" s="7">
        <f>Table234534568791112151416171819202122232425262728345678910113456789101112678[[#This Row],[Cash]]-Table234534568791112151416171819202122232425262728345678910113456789101112678[[#This Row],[Expense]]</f>
        <v>36000</v>
      </c>
      <c r="O30" s="8">
        <f t="shared" si="20"/>
        <v>45677</v>
      </c>
      <c r="P30" s="9">
        <f t="shared" si="26"/>
        <v>2237.6</v>
      </c>
      <c r="Q30" s="9">
        <f t="shared" si="27"/>
        <v>6712.8</v>
      </c>
      <c r="R30" s="9">
        <f t="shared" si="21"/>
        <v>15663.2</v>
      </c>
      <c r="S30" s="9">
        <f t="shared" si="25"/>
        <v>22376</v>
      </c>
      <c r="T30" s="9">
        <f t="shared" si="22"/>
        <v>200</v>
      </c>
      <c r="U30" s="9">
        <f t="shared" si="23"/>
        <v>22176</v>
      </c>
      <c r="V30" s="9">
        <f t="shared" si="24"/>
        <v>300</v>
      </c>
    </row>
    <row r="31" spans="1:22" x14ac:dyDescent="0.35">
      <c r="A31" s="6">
        <v>45686</v>
      </c>
      <c r="B31" s="7">
        <f>Table234534568791112151416171819202122232425262728345678910113456789101112678[[#This Row],[Profit]]-Table234534568791112151416171819202122232425262728345678910113456789101112678[[#This Row],[Mulbhag]]</f>
        <v>3326</v>
      </c>
      <c r="C31" s="43">
        <f>Table234534568791112151416171819202122232425262728345678910113456789101112678[[#This Row],[Profit]]/3</f>
        <v>1663</v>
      </c>
      <c r="D31" s="7">
        <f t="shared" si="0"/>
        <v>4989</v>
      </c>
      <c r="E31" s="7">
        <f t="shared" si="1"/>
        <v>11641</v>
      </c>
      <c r="F31" s="7">
        <f t="shared" si="2"/>
        <v>16630</v>
      </c>
      <c r="G31" s="7">
        <v>12900</v>
      </c>
      <c r="H31" s="7">
        <v>3730</v>
      </c>
      <c r="I31" s="7">
        <v>3333</v>
      </c>
      <c r="J31" s="7"/>
      <c r="K31" s="7">
        <f>Table234534568791112151416171819202122232425262728345678910113456789101112678[[#This Row],[Account Transfer]]-Table234534568791112151416171819202122232425262728345678910113456789101112678[[#This Row],[Expense Online]]</f>
        <v>3730</v>
      </c>
      <c r="L31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4578</v>
      </c>
      <c r="M31" s="7">
        <f>Table234534568791112151416171819202122232425262728345678910113456789101112678[[#This Row],[Cash]]-Table234534568791112151416171819202122232425262728345678910113456789101112678[[#This Row],[Expense]]</f>
        <v>9567</v>
      </c>
      <c r="O31" s="10">
        <f t="shared" si="20"/>
        <v>45678</v>
      </c>
      <c r="P31" s="11">
        <f t="shared" si="26"/>
        <v>1033.0999999999999</v>
      </c>
      <c r="Q31" s="11">
        <f t="shared" si="27"/>
        <v>3099.2999999999997</v>
      </c>
      <c r="R31" s="11">
        <f t="shared" si="21"/>
        <v>7231.7000000000007</v>
      </c>
      <c r="S31" s="11">
        <f t="shared" si="25"/>
        <v>10331</v>
      </c>
      <c r="T31" s="11">
        <f t="shared" si="22"/>
        <v>3630</v>
      </c>
      <c r="U31" s="11">
        <f t="shared" si="23"/>
        <v>6701</v>
      </c>
      <c r="V31" s="11">
        <f t="shared" si="24"/>
        <v>1390</v>
      </c>
    </row>
    <row r="32" spans="1:22" x14ac:dyDescent="0.35">
      <c r="A32" s="6">
        <v>45687</v>
      </c>
      <c r="B32" s="7">
        <f>Table234534568791112151416171819202122232425262728345678910113456789101112678[[#This Row],[Profit]]-Table234534568791112151416171819202122232425262728345678910113456789101112678[[#This Row],[Mulbhag]]</f>
        <v>3198.3999999999996</v>
      </c>
      <c r="C32" s="43">
        <f>Table234534568791112151416171819202122232425262728345678910113456789101112678[[#This Row],[Profit]]/3</f>
        <v>1599.1999999999998</v>
      </c>
      <c r="D32" s="7">
        <f t="shared" si="0"/>
        <v>4797.5999999999995</v>
      </c>
      <c r="E32" s="7">
        <f t="shared" si="1"/>
        <v>11194.400000000001</v>
      </c>
      <c r="F32" s="7">
        <f t="shared" si="2"/>
        <v>15992</v>
      </c>
      <c r="G32" s="7">
        <v>8610</v>
      </c>
      <c r="H32" s="7">
        <v>7382</v>
      </c>
      <c r="I32" s="7">
        <v>1120</v>
      </c>
      <c r="J32" s="7"/>
      <c r="K32" s="7">
        <f>Table234534568791112151416171819202122232425262728345678910113456789101112678[[#This Row],[Account Transfer]]-Table234534568791112151416171819202122232425262728345678910113456789101112678[[#This Row],[Expense Online]]</f>
        <v>7382</v>
      </c>
      <c r="L32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2692.4000000000005</v>
      </c>
      <c r="M32" s="7">
        <f>Table234534568791112151416171819202122232425262728345678910113456789101112678[[#This Row],[Cash]]-Table234534568791112151416171819202122232425262728345678910113456789101112678[[#This Row],[Expense]]</f>
        <v>7490</v>
      </c>
      <c r="O32" s="12" t="s">
        <v>3</v>
      </c>
      <c r="P32" s="12">
        <f>SUM(P25:P31)</f>
        <v>11559.800000000001</v>
      </c>
      <c r="Q32" s="11">
        <f t="shared" ref="Q32:V32" si="28">SUM(Q25:Q31)</f>
        <v>34679.4</v>
      </c>
      <c r="R32" s="11">
        <f t="shared" si="28"/>
        <v>80918.599999999991</v>
      </c>
      <c r="S32" s="11">
        <f t="shared" si="28"/>
        <v>115598</v>
      </c>
      <c r="T32" s="11">
        <f t="shared" si="28"/>
        <v>44091</v>
      </c>
      <c r="U32" s="11">
        <f t="shared" si="28"/>
        <v>71507</v>
      </c>
      <c r="V32" s="11">
        <f t="shared" si="28"/>
        <v>15350</v>
      </c>
    </row>
    <row r="33" spans="1:22" x14ac:dyDescent="0.35">
      <c r="A33" s="6">
        <v>45688</v>
      </c>
      <c r="B33" s="7">
        <f>Table234534568791112151416171819202122232425262728345678910113456789101112678[[#This Row],[Profit]]-Table234534568791112151416171819202122232425262728345678910113456789101112678[[#This Row],[Mulbhag]]</f>
        <v>2898</v>
      </c>
      <c r="C33" s="43">
        <f>Table234534568791112151416171819202122232425262728345678910113456789101112678[[#This Row],[Profit]]/3</f>
        <v>1449</v>
      </c>
      <c r="D33" s="7">
        <f t="shared" si="0"/>
        <v>4347</v>
      </c>
      <c r="E33" s="7">
        <f t="shared" si="1"/>
        <v>10143</v>
      </c>
      <c r="F33" s="7">
        <f t="shared" si="2"/>
        <v>14490</v>
      </c>
      <c r="G33" s="7">
        <v>12800</v>
      </c>
      <c r="H33" s="7">
        <v>1690</v>
      </c>
      <c r="I33" s="7">
        <v>3180</v>
      </c>
      <c r="J33" s="7"/>
      <c r="K33" s="7">
        <f>Table234534568791112151416171819202122232425262728345678910113456789101112678[[#This Row],[Account Transfer]]-Table234534568791112151416171819202122232425262728345678910113456789101112678[[#This Row],[Expense Online]]</f>
        <v>1690</v>
      </c>
      <c r="L33" s="7">
        <f>Table234534568791112151416171819202122232425262728345678910113456789101112678[[#This Row],[Cash]]-Table234534568791112151416171819202122232425262728345678910113456789101112678[[#This Row],[Mulbhag]]-Table234534568791112151416171819202122232425262728345678910113456789101112678[[#This Row],[Actual Profit]]-Table234534568791112151416171819202122232425262728345678910113456789101112678[[#This Row],[Expense]]</f>
        <v>5273</v>
      </c>
      <c r="M33" s="7">
        <f>Table234534568791112151416171819202122232425262728345678910113456789101112678[[#This Row],[Cash]]-Table234534568791112151416171819202122232425262728345678910113456789101112678[[#This Row],[Expense]]</f>
        <v>9620</v>
      </c>
      <c r="O33" s="12" t="s">
        <v>7</v>
      </c>
      <c r="P33" s="9"/>
      <c r="Q33" s="9">
        <f>Q32/3</f>
        <v>11559.800000000001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SUBTOTAL(109,Table234534568791112151416171819202122232425262728345678910113456789101112678[Actual Profit])</f>
        <v>130465</v>
      </c>
      <c r="C34" s="16">
        <f>SUBTOTAL(109,Table234534568791112151416171819202122232425262728345678910113456789101112678[Mulbhag])</f>
        <v>65232.499999999993</v>
      </c>
      <c r="D34" s="16">
        <f>SUBTOTAL(109,Table234534568791112151416171819202122232425262728345678910113456789101112678[Profit])</f>
        <v>195697.50000000003</v>
      </c>
      <c r="E34" s="16">
        <f>SUBTOTAL(109,Table234534568791112151416171819202122232425262728345678910113456789101112678[Profit])</f>
        <v>195697.50000000003</v>
      </c>
      <c r="F34" s="16">
        <f>SUM(F3:F33)</f>
        <v>652325</v>
      </c>
      <c r="G34" s="16">
        <f>SUBTOTAL(109,Table234534568791112151416171819202122232425262728345678910113456789101112678[Profit])</f>
        <v>195697.50000000003</v>
      </c>
      <c r="H34" s="16">
        <f>SUBTOTAL(109,Table234534568791112151416171819202122232425262728345678910113456789101112678[Profit])</f>
        <v>195697.50000000003</v>
      </c>
      <c r="I34" s="16">
        <f>SUM(I5:I33)</f>
        <v>159275</v>
      </c>
      <c r="J34" s="16">
        <f>SUBTOTAL(109,Table234534568791112151416171819202122232425262728345678910113456789101112678[Expense Online])</f>
        <v>500</v>
      </c>
      <c r="K34" s="16">
        <f>SUBTOTAL(109,Table234534568791112151416171819202122232425262728345678910113456789101112678[Account Balance])</f>
        <v>369691</v>
      </c>
      <c r="L34" s="16">
        <f>SUM(L5:L33)</f>
        <v>-74554.300000000017</v>
      </c>
      <c r="M34" s="16">
        <f>SUBTOTAL(109,Table234534568791112151416171819202122232425262728345678910113456789101112678[Actual Balance])</f>
        <v>120519</v>
      </c>
    </row>
    <row r="35" spans="1:22" x14ac:dyDescent="0.35">
      <c r="A35" s="17"/>
      <c r="B35" s="18"/>
      <c r="C35" s="49"/>
      <c r="D35" s="18"/>
      <c r="E35" s="18"/>
      <c r="F35" s="18"/>
      <c r="G35" s="18"/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49"/>
      <c r="D36" s="18"/>
      <c r="E36" s="18"/>
      <c r="F36" s="18"/>
      <c r="G36" s="18"/>
      <c r="H36" s="18"/>
      <c r="I36" s="18"/>
      <c r="J36" s="18"/>
      <c r="K36" s="18"/>
      <c r="L36" s="18"/>
      <c r="M36" s="18"/>
      <c r="O36" s="8">
        <f t="shared" ref="O36:O40" si="29">A24</f>
        <v>45679</v>
      </c>
      <c r="P36" s="11">
        <f>Q36/3</f>
        <v>2539.7999999999997</v>
      </c>
      <c r="Q36" s="11">
        <f>S36*0.3</f>
        <v>7619.4</v>
      </c>
      <c r="R36" s="11">
        <f t="shared" ref="R36:R41" si="30">S36-Q36</f>
        <v>17778.599999999999</v>
      </c>
      <c r="S36" s="11">
        <f>T36+U36</f>
        <v>25398</v>
      </c>
      <c r="T36" s="11">
        <f t="shared" ref="T36:T41" si="31">VLOOKUP(O36,$A$1:$J$34,7,0)</f>
        <v>9780</v>
      </c>
      <c r="U36" s="11">
        <f t="shared" ref="U36:U41" si="32">VLOOKUP(O36,$A$1:$J$34,8,0)</f>
        <v>15618</v>
      </c>
      <c r="V36" s="11">
        <f t="shared" ref="V36:V41" si="33">VLOOKUP(O36,$A$1:$J$34,9,0)</f>
        <v>3330</v>
      </c>
    </row>
    <row r="37" spans="1:22" ht="29" x14ac:dyDescent="0.35">
      <c r="A37" s="13" t="s">
        <v>0</v>
      </c>
      <c r="B37" s="41" t="s">
        <v>10</v>
      </c>
      <c r="C37" s="14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45680</v>
      </c>
      <c r="P37" s="9">
        <f>Q37/3</f>
        <v>2675</v>
      </c>
      <c r="Q37" s="9">
        <f>S37*0.3</f>
        <v>8025</v>
      </c>
      <c r="R37" s="9">
        <f t="shared" si="30"/>
        <v>18725</v>
      </c>
      <c r="S37" s="9">
        <f t="shared" ref="S37:S41" si="34">T37+U37</f>
        <v>26750</v>
      </c>
      <c r="T37" s="9">
        <f t="shared" si="31"/>
        <v>12900</v>
      </c>
      <c r="U37" s="9">
        <f t="shared" si="32"/>
        <v>13850</v>
      </c>
      <c r="V37" s="9">
        <f t="shared" si="33"/>
        <v>7080</v>
      </c>
    </row>
    <row r="38" spans="1:22" x14ac:dyDescent="0.35">
      <c r="A38" s="20" t="str">
        <f>CONCATENATE(TEXT(O3,"DD-MMM-YYY")," to ",TEXT(O9,"DD-MMM-YYYY"))</f>
        <v>01-Jan-2025 to 07-Jan-2025</v>
      </c>
      <c r="B38" s="11">
        <f>D38-C38</f>
        <v>27537.200000000004</v>
      </c>
      <c r="C38" s="11">
        <f>D38/3</f>
        <v>13768.6</v>
      </c>
      <c r="D38" s="11">
        <f>Q10</f>
        <v>41305.800000000003</v>
      </c>
      <c r="E38" s="11">
        <f t="shared" ref="E38:I38" si="35">R10</f>
        <v>96380.200000000012</v>
      </c>
      <c r="F38" s="11">
        <f t="shared" si="35"/>
        <v>137686</v>
      </c>
      <c r="G38" s="11">
        <f t="shared" si="35"/>
        <v>65104</v>
      </c>
      <c r="H38" s="11">
        <f t="shared" si="35"/>
        <v>72582</v>
      </c>
      <c r="I38" s="11">
        <f t="shared" si="35"/>
        <v>65777</v>
      </c>
      <c r="J38" s="11"/>
      <c r="K38" s="11"/>
      <c r="L38" s="11"/>
      <c r="M38" s="11"/>
      <c r="O38" s="10">
        <f t="shared" si="29"/>
        <v>45681</v>
      </c>
      <c r="P38" s="11">
        <f t="shared" ref="P38:P41" si="36">Q38/3</f>
        <v>778</v>
      </c>
      <c r="Q38" s="11">
        <f t="shared" ref="Q38:Q41" si="37">S38*0.3</f>
        <v>2334</v>
      </c>
      <c r="R38" s="11">
        <f t="shared" si="30"/>
        <v>5446</v>
      </c>
      <c r="S38" s="11">
        <f t="shared" si="34"/>
        <v>7780</v>
      </c>
      <c r="T38" s="11">
        <f t="shared" si="31"/>
        <v>3580</v>
      </c>
      <c r="U38" s="11">
        <f t="shared" si="32"/>
        <v>4200</v>
      </c>
      <c r="V38" s="11">
        <f t="shared" si="33"/>
        <v>1800</v>
      </c>
    </row>
    <row r="39" spans="1:22" x14ac:dyDescent="0.35">
      <c r="A39" s="20" t="str">
        <f>CONCATENATE(TEXT(O14,"DD-MMM-YYY")," to ",TEXT(O20,"DD-MMM-YYYY"))</f>
        <v>08-Jan-2025 to 14-Jan-2025</v>
      </c>
      <c r="B39" s="9">
        <f t="shared" ref="B39:B42" si="38">D39-C39</f>
        <v>35807.800000000003</v>
      </c>
      <c r="C39" s="9">
        <f t="shared" ref="C39:C42" si="39">D39/3</f>
        <v>17903.899999999998</v>
      </c>
      <c r="D39" s="9">
        <f>Q21</f>
        <v>53711.7</v>
      </c>
      <c r="E39" s="9">
        <f t="shared" ref="E39:I39" si="40">R21</f>
        <v>125327.29999999999</v>
      </c>
      <c r="F39" s="9">
        <f t="shared" si="40"/>
        <v>179039</v>
      </c>
      <c r="G39" s="9">
        <f t="shared" si="40"/>
        <v>63034</v>
      </c>
      <c r="H39" s="9">
        <f t="shared" si="40"/>
        <v>116005</v>
      </c>
      <c r="I39" s="9">
        <f t="shared" si="40"/>
        <v>29875</v>
      </c>
      <c r="J39" s="9"/>
      <c r="K39" s="9"/>
      <c r="L39" s="9"/>
      <c r="M39" s="9"/>
      <c r="O39" s="8">
        <f t="shared" si="29"/>
        <v>45682</v>
      </c>
      <c r="P39" s="9">
        <f t="shared" si="36"/>
        <v>1525.5</v>
      </c>
      <c r="Q39" s="9">
        <f t="shared" si="37"/>
        <v>4576.5</v>
      </c>
      <c r="R39" s="9">
        <f t="shared" si="30"/>
        <v>10678.5</v>
      </c>
      <c r="S39" s="9">
        <f t="shared" si="34"/>
        <v>15255</v>
      </c>
      <c r="T39" s="9">
        <f t="shared" si="31"/>
        <v>4845</v>
      </c>
      <c r="U39" s="9">
        <f t="shared" si="32"/>
        <v>10410</v>
      </c>
      <c r="V39" s="9">
        <f t="shared" si="33"/>
        <v>25550</v>
      </c>
    </row>
    <row r="40" spans="1:22" x14ac:dyDescent="0.35">
      <c r="A40" s="20" t="str">
        <f>CONCATENATE(TEXT(O25,"DD-MMM-YYY")," to ",TEXT(O31,"DD-MMM-YYYY"))</f>
        <v>15-Jan-2025 to 21-Jan-2025</v>
      </c>
      <c r="B40" s="11">
        <f t="shared" si="38"/>
        <v>23119.599999999999</v>
      </c>
      <c r="C40" s="11">
        <f t="shared" si="39"/>
        <v>11559.800000000001</v>
      </c>
      <c r="D40" s="11">
        <f>Q32</f>
        <v>34679.4</v>
      </c>
      <c r="E40" s="11">
        <f t="shared" ref="E40:I40" si="41">R32</f>
        <v>80918.599999999991</v>
      </c>
      <c r="F40" s="11">
        <f t="shared" si="41"/>
        <v>115598</v>
      </c>
      <c r="G40" s="11">
        <f t="shared" si="41"/>
        <v>44091</v>
      </c>
      <c r="H40" s="11">
        <f t="shared" si="41"/>
        <v>71507</v>
      </c>
      <c r="I40" s="11">
        <f t="shared" si="41"/>
        <v>15350</v>
      </c>
      <c r="J40" s="11"/>
      <c r="K40" s="11"/>
      <c r="L40" s="11"/>
      <c r="M40" s="11"/>
      <c r="O40" s="10">
        <f t="shared" si="29"/>
        <v>45683</v>
      </c>
      <c r="P40" s="11">
        <f t="shared" si="36"/>
        <v>2869</v>
      </c>
      <c r="Q40" s="11">
        <f t="shared" si="37"/>
        <v>8607</v>
      </c>
      <c r="R40" s="11">
        <f t="shared" si="30"/>
        <v>20083</v>
      </c>
      <c r="S40" s="11">
        <f t="shared" si="34"/>
        <v>28690</v>
      </c>
      <c r="T40" s="11">
        <f t="shared" si="31"/>
        <v>3400</v>
      </c>
      <c r="U40" s="11">
        <f t="shared" si="32"/>
        <v>25290</v>
      </c>
      <c r="V40" s="11">
        <f t="shared" si="33"/>
        <v>2420</v>
      </c>
    </row>
    <row r="41" spans="1:22" x14ac:dyDescent="0.35">
      <c r="A41" s="20" t="str">
        <f>CONCATENATE(TEXT(O36,"DD-MMM-YYY")," to ",TEXT(O41,"DD-MMM-YYYY"))</f>
        <v>22-Jan-2025 to 31-Jan-2025</v>
      </c>
      <c r="B41" s="9">
        <f t="shared" si="38"/>
        <v>23672.6</v>
      </c>
      <c r="C41" s="9">
        <f t="shared" si="39"/>
        <v>11836.300000000001</v>
      </c>
      <c r="D41" s="9">
        <f>Q42</f>
        <v>35508.9</v>
      </c>
      <c r="E41" s="9">
        <f t="shared" ref="E41:I41" si="42">R42</f>
        <v>82854.100000000006</v>
      </c>
      <c r="F41" s="9">
        <f t="shared" si="42"/>
        <v>118363</v>
      </c>
      <c r="G41" s="9">
        <f t="shared" si="42"/>
        <v>47305</v>
      </c>
      <c r="H41" s="9">
        <f t="shared" si="42"/>
        <v>71058</v>
      </c>
      <c r="I41" s="9">
        <f t="shared" si="42"/>
        <v>43360</v>
      </c>
      <c r="J41" s="9"/>
      <c r="K41" s="9"/>
      <c r="L41" s="9"/>
      <c r="M41" s="9"/>
      <c r="O41" s="8">
        <f>A33</f>
        <v>45688</v>
      </c>
      <c r="P41" s="9">
        <f t="shared" si="36"/>
        <v>1449</v>
      </c>
      <c r="Q41" s="9">
        <f t="shared" si="37"/>
        <v>4347</v>
      </c>
      <c r="R41" s="9">
        <f t="shared" si="30"/>
        <v>10143</v>
      </c>
      <c r="S41" s="9">
        <f t="shared" si="34"/>
        <v>14490</v>
      </c>
      <c r="T41" s="9">
        <f t="shared" si="31"/>
        <v>12800</v>
      </c>
      <c r="U41" s="9">
        <f t="shared" si="32"/>
        <v>1690</v>
      </c>
      <c r="V41" s="9">
        <f t="shared" si="33"/>
        <v>3180</v>
      </c>
    </row>
    <row r="42" spans="1:22" x14ac:dyDescent="0.35">
      <c r="A42" s="20" t="str">
        <f>CONCATENATE(TEXT(O3,"DD-MMM-YYY")," to ",TEXT(O41,"DD-MMM-YYYY"))</f>
        <v>01-Jan-2025 to 31-Jan-2025</v>
      </c>
      <c r="B42" s="9">
        <f t="shared" si="38"/>
        <v>110137.19999999998</v>
      </c>
      <c r="C42" s="9">
        <f t="shared" si="39"/>
        <v>55068.6</v>
      </c>
      <c r="D42" s="9">
        <f t="shared" ref="D42:I42" si="43">SUM(D38:D41)</f>
        <v>165205.79999999999</v>
      </c>
      <c r="E42" s="9">
        <f t="shared" si="43"/>
        <v>385480.19999999995</v>
      </c>
      <c r="F42" s="9">
        <f t="shared" si="43"/>
        <v>550686</v>
      </c>
      <c r="G42" s="9">
        <f t="shared" si="43"/>
        <v>219534</v>
      </c>
      <c r="H42" s="9">
        <f t="shared" si="43"/>
        <v>331152</v>
      </c>
      <c r="I42" s="9">
        <f t="shared" si="43"/>
        <v>154362</v>
      </c>
      <c r="J42" s="9"/>
      <c r="K42" s="9"/>
      <c r="L42" s="9"/>
      <c r="M42" s="9"/>
      <c r="O42" s="12" t="s">
        <v>3</v>
      </c>
      <c r="P42" s="12">
        <f t="shared" ref="P42:V42" si="44">SUM(P36:P41)</f>
        <v>11836.3</v>
      </c>
      <c r="Q42" s="11">
        <f t="shared" si="44"/>
        <v>35508.9</v>
      </c>
      <c r="R42" s="9">
        <f t="shared" si="44"/>
        <v>82854.100000000006</v>
      </c>
      <c r="S42" s="9">
        <f t="shared" si="44"/>
        <v>118363</v>
      </c>
      <c r="T42" s="9">
        <f t="shared" si="44"/>
        <v>47305</v>
      </c>
      <c r="U42" s="9">
        <f t="shared" si="44"/>
        <v>71058</v>
      </c>
      <c r="V42" s="9">
        <f t="shared" si="44"/>
        <v>43360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11836.300000000001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45662</v>
      </c>
      <c r="P47" s="9"/>
      <c r="Q47" s="9">
        <f t="shared" ref="Q47:V47" si="45">SUM(D8:D33)</f>
        <v>166953.29999999999</v>
      </c>
      <c r="R47" s="9">
        <f t="shared" si="45"/>
        <v>389557.70000000007</v>
      </c>
      <c r="S47" s="9">
        <f t="shared" si="45"/>
        <v>556511</v>
      </c>
      <c r="T47" s="9">
        <f t="shared" si="45"/>
        <v>235960</v>
      </c>
      <c r="U47" s="9">
        <f t="shared" si="45"/>
        <v>320551</v>
      </c>
      <c r="V47" s="9">
        <f t="shared" si="45"/>
        <v>150675</v>
      </c>
    </row>
    <row r="48" spans="1:22" x14ac:dyDescent="0.35">
      <c r="O48" s="12" t="s">
        <v>7</v>
      </c>
      <c r="P48" s="11"/>
      <c r="Q48" s="11">
        <f>Q47/3</f>
        <v>55651.1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4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1">
      <dataBar>
        <cfvo type="min"/>
        <cfvo type="max"/>
        <color rgb="FF638EC6"/>
      </dataBar>
    </cfRule>
    <cfRule type="dataBar" priority="7">
      <dataBar>
        <cfvo type="min"/>
        <cfvo type="max"/>
        <color rgb="FF638EC6"/>
      </dataBar>
    </cfRule>
  </conditionalFormatting>
  <conditionalFormatting sqref="H37"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</conditionalFormatting>
  <conditionalFormatting sqref="I37:M37 A37 C37:G37">
    <cfRule type="dataBar" priority="9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7949-CBD1-4581-8C15-48D424728864}">
  <dimension ref="A1:V48"/>
  <sheetViews>
    <sheetView zoomScale="90" zoomScaleNormal="90" workbookViewId="0">
      <pane ySplit="1" topLeftCell="A24" activePane="bottomLeft" state="frozen"/>
      <selection pane="bottomLeft" activeCell="A38" sqref="A38"/>
    </sheetView>
  </sheetViews>
  <sheetFormatPr defaultColWidth="26" defaultRowHeight="14.5" x14ac:dyDescent="0.35"/>
  <cols>
    <col min="1" max="1" width="27.36328125" bestFit="1" customWidth="1"/>
    <col min="2" max="2" width="10" style="19" bestFit="1" customWidth="1"/>
    <col min="3" max="3" width="10" style="50" bestFit="1" customWidth="1"/>
    <col min="4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Table2345345687911121514161718192021222324252627283456789101134567891011126789[[#This Row],[Profit]]-Table2345345687911121514161718192021222324252627283456789101134567891011126789[[#This Row],[Mulbhag]]</f>
        <v>0</v>
      </c>
      <c r="C2" s="43">
        <f>Table2345345687911121514161718192021222324252627283456789101134567891011126789[[#This Row],[Profit]]/3</f>
        <v>0</v>
      </c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2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0</v>
      </c>
      <c r="M2" s="7">
        <f>Table2345345687911121514161718192021222324252627283456789101134567891011126789[[#This Row],[Cash]]-Table2345345687911121514161718192021222324252627283456789101134567891011126789[[#This Row],[Expense]]</f>
        <v>0</v>
      </c>
      <c r="O2" s="8" t="s">
        <v>8</v>
      </c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45689</v>
      </c>
      <c r="B3" s="7">
        <f>Table2345345687911121514161718192021222324252627283456789101134567891011126789[[#This Row],[Profit]]-Table2345345687911121514161718192021222324252627283456789101134567891011126789[[#This Row],[Mulbhag]]</f>
        <v>834</v>
      </c>
      <c r="C3" s="43">
        <f>Table2345345687911121514161718192021222324252627283456789101134567891011126789[[#This Row],[Profit]]/3</f>
        <v>417</v>
      </c>
      <c r="D3" s="7">
        <f t="shared" si="0"/>
        <v>1251</v>
      </c>
      <c r="E3" s="7">
        <f t="shared" si="1"/>
        <v>2919</v>
      </c>
      <c r="F3" s="7">
        <f t="shared" si="2"/>
        <v>4170</v>
      </c>
      <c r="G3" s="7">
        <v>1970</v>
      </c>
      <c r="H3" s="7">
        <v>2200</v>
      </c>
      <c r="I3" s="7">
        <v>1060</v>
      </c>
      <c r="J3" s="7"/>
      <c r="K3" s="7">
        <f>Table2345345687911121514161718192021222324252627283456789101134567891011126789[[#This Row],[Account Transfer]]-Table2345345687911121514161718192021222324252627283456789101134567891011126789[[#This Row],[Expense Online]]</f>
        <v>2200</v>
      </c>
      <c r="L3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-341</v>
      </c>
      <c r="M3" s="7">
        <f>Table2345345687911121514161718192021222324252627283456789101134567891011126789[[#This Row],[Cash]]-Table2345345687911121514161718192021222324252627283456789101134567891011126789[[#This Row],[Expense]]</f>
        <v>910</v>
      </c>
      <c r="O3" s="10">
        <f t="shared" ref="O3:O9" si="3">A3</f>
        <v>45689</v>
      </c>
      <c r="P3" s="11">
        <f>Q3/3</f>
        <v>417</v>
      </c>
      <c r="Q3" s="11">
        <f>S3*0.3</f>
        <v>1251</v>
      </c>
      <c r="R3" s="11">
        <f t="shared" ref="R3:R9" si="4">S3-Q3</f>
        <v>2919</v>
      </c>
      <c r="S3" s="11">
        <f>T3+U3</f>
        <v>4170</v>
      </c>
      <c r="T3" s="11">
        <f t="shared" ref="T3:T9" si="5">VLOOKUP(O3,$A$1:$J$34,7,0)</f>
        <v>1970</v>
      </c>
      <c r="U3" s="11">
        <f t="shared" ref="U3:U9" si="6">VLOOKUP(O3,$A$1:$J$34,8,0)</f>
        <v>2200</v>
      </c>
      <c r="V3" s="11">
        <f t="shared" ref="V3:V9" si="7">VLOOKUP(O3,$A$1:$J$34,9,0)</f>
        <v>1060</v>
      </c>
    </row>
    <row r="4" spans="1:22" x14ac:dyDescent="0.35">
      <c r="A4" s="6">
        <v>45690</v>
      </c>
      <c r="B4" s="7">
        <f>Table2345345687911121514161718192021222324252627283456789101134567891011126789[[#This Row],[Profit]]-Table2345345687911121514161718192021222324252627283456789101134567891011126789[[#This Row],[Mulbhag]]</f>
        <v>3533</v>
      </c>
      <c r="C4" s="43">
        <f>Table2345345687911121514161718192021222324252627283456789101134567891011126789[[#This Row],[Profit]]/3</f>
        <v>1766.5</v>
      </c>
      <c r="D4" s="7">
        <f t="shared" si="0"/>
        <v>5299.5</v>
      </c>
      <c r="E4" s="7">
        <f t="shared" si="1"/>
        <v>12365.5</v>
      </c>
      <c r="F4" s="7">
        <f t="shared" si="2"/>
        <v>17665</v>
      </c>
      <c r="G4" s="7">
        <v>5595</v>
      </c>
      <c r="H4" s="7">
        <v>12070</v>
      </c>
      <c r="I4" s="7">
        <v>2154</v>
      </c>
      <c r="J4" s="7"/>
      <c r="K4" s="7">
        <f>Table2345345687911121514161718192021222324252627283456789101134567891011126789[[#This Row],[Account Transfer]]-Table2345345687911121514161718192021222324252627283456789101134567891011126789[[#This Row],[Expense Online]]</f>
        <v>12070</v>
      </c>
      <c r="L4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Row],[Expense]]+L3</f>
        <v>-2199.5</v>
      </c>
      <c r="M4" s="7">
        <f>Table2345345687911121514161718192021222324252627283456789101134567891011126789[[#This Row],[Cash]]-Table2345345687911121514161718192021222324252627283456789101134567891011126789[[#This Row],[Expense]]</f>
        <v>3441</v>
      </c>
      <c r="O4" s="8">
        <f t="shared" si="3"/>
        <v>45690</v>
      </c>
      <c r="P4" s="9">
        <f>Q4/3</f>
        <v>1766.5</v>
      </c>
      <c r="Q4" s="9">
        <f>S4*0.3</f>
        <v>5299.5</v>
      </c>
      <c r="R4" s="9">
        <f t="shared" si="4"/>
        <v>12365.5</v>
      </c>
      <c r="S4" s="9">
        <f t="shared" ref="S4:S9" si="8">T4+U4</f>
        <v>17665</v>
      </c>
      <c r="T4" s="9">
        <f t="shared" si="5"/>
        <v>5595</v>
      </c>
      <c r="U4" s="9">
        <f t="shared" si="6"/>
        <v>12070</v>
      </c>
      <c r="V4" s="9">
        <f t="shared" si="7"/>
        <v>2154</v>
      </c>
    </row>
    <row r="5" spans="1:22" x14ac:dyDescent="0.35">
      <c r="A5" s="6">
        <v>45691</v>
      </c>
      <c r="B5" s="7">
        <f>Table2345345687911121514161718192021222324252627283456789101134567891011126789[[#This Row],[Profit]]-Table2345345687911121514161718192021222324252627283456789101134567891011126789[[#This Row],[Mulbhag]]</f>
        <v>971</v>
      </c>
      <c r="C5" s="43">
        <f>Table2345345687911121514161718192021222324252627283456789101134567891011126789[[#This Row],[Profit]]/3</f>
        <v>485.5</v>
      </c>
      <c r="D5" s="7">
        <f t="shared" si="0"/>
        <v>1456.5</v>
      </c>
      <c r="E5" s="7">
        <f t="shared" si="1"/>
        <v>3398.5</v>
      </c>
      <c r="F5" s="7">
        <f t="shared" si="2"/>
        <v>4855</v>
      </c>
      <c r="G5" s="7">
        <v>2465</v>
      </c>
      <c r="H5" s="7">
        <f>1250+1040+100</f>
        <v>2390</v>
      </c>
      <c r="I5" s="7">
        <v>180</v>
      </c>
      <c r="J5" s="7"/>
      <c r="K5" s="7">
        <f>Table2345345687911121514161718192021222324252627283456789101134567891011126789[[#This Row],[Account Transfer]]-Table2345345687911121514161718192021222324252627283456789101134567891011126789[[#This Row],[Expense Online]]</f>
        <v>2390</v>
      </c>
      <c r="L5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828.5</v>
      </c>
      <c r="M5" s="7">
        <f>Table2345345687911121514161718192021222324252627283456789101134567891011126789[[#This Row],[Cash]]-Table2345345687911121514161718192021222324252627283456789101134567891011126789[[#This Row],[Expense]]</f>
        <v>2285</v>
      </c>
      <c r="O5" s="10">
        <f t="shared" si="3"/>
        <v>45691</v>
      </c>
      <c r="P5" s="11">
        <f t="shared" ref="P5:P9" si="9">Q5/3</f>
        <v>485.5</v>
      </c>
      <c r="Q5" s="11">
        <f t="shared" ref="Q5:Q9" si="10">S5*0.3</f>
        <v>1456.5</v>
      </c>
      <c r="R5" s="11">
        <f t="shared" si="4"/>
        <v>3398.5</v>
      </c>
      <c r="S5" s="11">
        <f t="shared" si="8"/>
        <v>4855</v>
      </c>
      <c r="T5" s="11">
        <f t="shared" si="5"/>
        <v>2465</v>
      </c>
      <c r="U5" s="11">
        <f t="shared" si="6"/>
        <v>2390</v>
      </c>
      <c r="V5" s="11">
        <f t="shared" si="7"/>
        <v>180</v>
      </c>
    </row>
    <row r="6" spans="1:22" x14ac:dyDescent="0.35">
      <c r="A6" s="6">
        <v>45692</v>
      </c>
      <c r="B6" s="7">
        <f>Table2345345687911121514161718192021222324252627283456789101134567891011126789[[#This Row],[Profit]]-Table2345345687911121514161718192021222324252627283456789101134567891011126789[[#This Row],[Mulbhag]]</f>
        <v>2205</v>
      </c>
      <c r="C6" s="43">
        <f>Table2345345687911121514161718192021222324252627283456789101134567891011126789[[#This Row],[Profit]]/3</f>
        <v>1102.5</v>
      </c>
      <c r="D6" s="7">
        <f t="shared" si="0"/>
        <v>3307.5</v>
      </c>
      <c r="E6" s="7">
        <f t="shared" si="1"/>
        <v>7717.5</v>
      </c>
      <c r="F6" s="7">
        <f t="shared" si="2"/>
        <v>11025</v>
      </c>
      <c r="G6" s="7">
        <v>3800</v>
      </c>
      <c r="H6" s="7">
        <v>7225</v>
      </c>
      <c r="I6" s="7">
        <v>3000</v>
      </c>
      <c r="J6" s="7"/>
      <c r="K6" s="7">
        <f>Table2345345687911121514161718192021222324252627283456789101134567891011126789[[#This Row],[Account Transfer]]-Table2345345687911121514161718192021222324252627283456789101134567891011126789[[#This Row],[Expense Online]]</f>
        <v>7225</v>
      </c>
      <c r="L6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-2507.5</v>
      </c>
      <c r="M6" s="7">
        <f>Table2345345687911121514161718192021222324252627283456789101134567891011126789[[#This Row],[Cash]]-Table2345345687911121514161718192021222324252627283456789101134567891011126789[[#This Row],[Expense]]</f>
        <v>800</v>
      </c>
      <c r="O6" s="8">
        <f t="shared" si="3"/>
        <v>45692</v>
      </c>
      <c r="P6" s="9">
        <f t="shared" si="9"/>
        <v>1102.5</v>
      </c>
      <c r="Q6" s="9">
        <f t="shared" si="10"/>
        <v>3307.5</v>
      </c>
      <c r="R6" s="9">
        <f t="shared" si="4"/>
        <v>7717.5</v>
      </c>
      <c r="S6" s="9">
        <f t="shared" si="8"/>
        <v>11025</v>
      </c>
      <c r="T6" s="9">
        <f t="shared" si="5"/>
        <v>3800</v>
      </c>
      <c r="U6" s="9">
        <f t="shared" si="6"/>
        <v>7225</v>
      </c>
      <c r="V6" s="9">
        <f t="shared" si="7"/>
        <v>3000</v>
      </c>
    </row>
    <row r="7" spans="1:22" x14ac:dyDescent="0.35">
      <c r="A7" s="6">
        <v>45693</v>
      </c>
      <c r="B7" s="7">
        <f>Table2345345687911121514161718192021222324252627283456789101134567891011126789[[#This Row],[Profit]]-Table2345345687911121514161718192021222324252627283456789101134567891011126789[[#This Row],[Mulbhag]]</f>
        <v>6939.4</v>
      </c>
      <c r="C7" s="43">
        <f>Table2345345687911121514161718192021222324252627283456789101134567891011126789[[#This Row],[Profit]]/3</f>
        <v>3469.7000000000003</v>
      </c>
      <c r="D7" s="7">
        <f t="shared" si="0"/>
        <v>10409.1</v>
      </c>
      <c r="E7" s="7">
        <f t="shared" si="1"/>
        <v>24287.9</v>
      </c>
      <c r="F7" s="7">
        <f t="shared" si="2"/>
        <v>34697</v>
      </c>
      <c r="G7" s="7">
        <v>12356</v>
      </c>
      <c r="H7" s="7">
        <v>22341</v>
      </c>
      <c r="I7" s="7">
        <v>3530</v>
      </c>
      <c r="J7" s="7"/>
      <c r="K7" s="7">
        <f>Table2345345687911121514161718192021222324252627283456789101134567891011126789[[#This Row],[Account Transfer]]-Table2345345687911121514161718192021222324252627283456789101134567891011126789[[#This Row],[Expense Online]]</f>
        <v>22341</v>
      </c>
      <c r="L7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-1583.1000000000004</v>
      </c>
      <c r="M7" s="7">
        <f>Table2345345687911121514161718192021222324252627283456789101134567891011126789[[#This Row],[Cash]]-Table2345345687911121514161718192021222324252627283456789101134567891011126789[[#This Row],[Expense]]</f>
        <v>8826</v>
      </c>
      <c r="O7" s="10">
        <f t="shared" si="3"/>
        <v>45693</v>
      </c>
      <c r="P7" s="11">
        <f t="shared" si="9"/>
        <v>3469.7000000000003</v>
      </c>
      <c r="Q7" s="11">
        <f t="shared" si="10"/>
        <v>10409.1</v>
      </c>
      <c r="R7" s="11">
        <f t="shared" si="4"/>
        <v>24287.9</v>
      </c>
      <c r="S7" s="11">
        <f t="shared" si="8"/>
        <v>34697</v>
      </c>
      <c r="T7" s="11">
        <f t="shared" si="5"/>
        <v>12356</v>
      </c>
      <c r="U7" s="11">
        <f t="shared" si="6"/>
        <v>22341</v>
      </c>
      <c r="V7" s="11">
        <f t="shared" si="7"/>
        <v>3530</v>
      </c>
    </row>
    <row r="8" spans="1:22" x14ac:dyDescent="0.35">
      <c r="A8" s="6">
        <v>45694</v>
      </c>
      <c r="B8" s="7">
        <f>Table2345345687911121514161718192021222324252627283456789101134567891011126789[[#This Row],[Profit]]-Table2345345687911121514161718192021222324252627283456789101134567891011126789[[#This Row],[Mulbhag]]</f>
        <v>2704.5999999999995</v>
      </c>
      <c r="C8" s="43">
        <f>Table2345345687911121514161718192021222324252627283456789101134567891011126789[[#This Row],[Profit]]/3</f>
        <v>1352.3</v>
      </c>
      <c r="D8" s="7">
        <f t="shared" si="0"/>
        <v>4056.8999999999996</v>
      </c>
      <c r="E8" s="7">
        <f t="shared" si="1"/>
        <v>9466.1</v>
      </c>
      <c r="F8" s="7">
        <f t="shared" si="2"/>
        <v>13523</v>
      </c>
      <c r="G8" s="7">
        <v>5020</v>
      </c>
      <c r="H8" s="7">
        <v>8503</v>
      </c>
      <c r="I8" s="7">
        <v>1090</v>
      </c>
      <c r="J8" s="7"/>
      <c r="K8" s="7">
        <f>Table2345345687911121514161718192021222324252627283456789101134567891011126789[[#This Row],[Account Transfer]]-Table2345345687911121514161718192021222324252627283456789101134567891011126789[[#This Row],[Expense Online]]</f>
        <v>8503</v>
      </c>
      <c r="L8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-126.89999999999964</v>
      </c>
      <c r="M8" s="7">
        <f>Table2345345687911121514161718192021222324252627283456789101134567891011126789[[#This Row],[Cash]]-Table2345345687911121514161718192021222324252627283456789101134567891011126789[[#This Row],[Expense]]</f>
        <v>3930</v>
      </c>
      <c r="O8" s="8">
        <f t="shared" si="3"/>
        <v>45694</v>
      </c>
      <c r="P8" s="9">
        <f t="shared" si="9"/>
        <v>1352.3</v>
      </c>
      <c r="Q8" s="9">
        <f t="shared" si="10"/>
        <v>4056.8999999999996</v>
      </c>
      <c r="R8" s="9">
        <f t="shared" si="4"/>
        <v>9466.1</v>
      </c>
      <c r="S8" s="9">
        <f t="shared" si="8"/>
        <v>13523</v>
      </c>
      <c r="T8" s="9">
        <f t="shared" si="5"/>
        <v>5020</v>
      </c>
      <c r="U8" s="9">
        <f t="shared" si="6"/>
        <v>8503</v>
      </c>
      <c r="V8" s="9">
        <f t="shared" si="7"/>
        <v>1090</v>
      </c>
    </row>
    <row r="9" spans="1:22" x14ac:dyDescent="0.35">
      <c r="A9" s="6">
        <v>45695</v>
      </c>
      <c r="B9" s="7">
        <f>Table2345345687911121514161718192021222324252627283456789101134567891011126789[[#This Row],[Profit]]-Table2345345687911121514161718192021222324252627283456789101134567891011126789[[#This Row],[Mulbhag]]</f>
        <v>4260.7999999999993</v>
      </c>
      <c r="C9" s="43">
        <f>Table2345345687911121514161718192021222324252627283456789101134567891011126789[[#This Row],[Profit]]/3</f>
        <v>2130.4</v>
      </c>
      <c r="D9" s="7">
        <f t="shared" si="0"/>
        <v>6391.2</v>
      </c>
      <c r="E9" s="7">
        <f t="shared" si="1"/>
        <v>14912.8</v>
      </c>
      <c r="F9" s="7">
        <f t="shared" si="2"/>
        <v>21304</v>
      </c>
      <c r="G9" s="7">
        <v>4290</v>
      </c>
      <c r="H9" s="7">
        <v>17014</v>
      </c>
      <c r="I9" s="7">
        <v>150</v>
      </c>
      <c r="J9" s="7"/>
      <c r="K9" s="7">
        <f>Table2345345687911121514161718192021222324252627283456789101134567891011126789[[#This Row],[Account Transfer]]-Table2345345687911121514161718192021222324252627283456789101134567891011126789[[#This Row],[Expense Online]]</f>
        <v>17014</v>
      </c>
      <c r="L9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-2251.1999999999994</v>
      </c>
      <c r="M9" s="7">
        <f>Table2345345687911121514161718192021222324252627283456789101134567891011126789[[#This Row],[Cash]]-Table2345345687911121514161718192021222324252627283456789101134567891011126789[[#This Row],[Expense]]</f>
        <v>4140</v>
      </c>
      <c r="O9" s="10">
        <f t="shared" si="3"/>
        <v>45695</v>
      </c>
      <c r="P9" s="11">
        <f t="shared" si="9"/>
        <v>2130.4</v>
      </c>
      <c r="Q9" s="11">
        <f t="shared" si="10"/>
        <v>6391.2</v>
      </c>
      <c r="R9" s="11">
        <f t="shared" si="4"/>
        <v>14912.8</v>
      </c>
      <c r="S9" s="11">
        <f t="shared" si="8"/>
        <v>21304</v>
      </c>
      <c r="T9" s="11">
        <f t="shared" si="5"/>
        <v>4290</v>
      </c>
      <c r="U9" s="11">
        <f t="shared" si="6"/>
        <v>17014</v>
      </c>
      <c r="V9" s="11">
        <f t="shared" si="7"/>
        <v>150</v>
      </c>
    </row>
    <row r="10" spans="1:22" x14ac:dyDescent="0.35">
      <c r="A10" s="6">
        <v>45696</v>
      </c>
      <c r="B10" s="7">
        <f>Table2345345687911121514161718192021222324252627283456789101134567891011126789[[#This Row],[Profit]]-Table2345345687911121514161718192021222324252627283456789101134567891011126789[[#This Row],[Mulbhag]]</f>
        <v>2614</v>
      </c>
      <c r="C10" s="43">
        <f>Table2345345687911121514161718192021222324252627283456789101134567891011126789[[#This Row],[Profit]]/3</f>
        <v>1307</v>
      </c>
      <c r="D10" s="7">
        <f t="shared" si="0"/>
        <v>3921</v>
      </c>
      <c r="E10" s="7">
        <f t="shared" si="1"/>
        <v>9149</v>
      </c>
      <c r="F10" s="7">
        <f t="shared" si="2"/>
        <v>13070</v>
      </c>
      <c r="G10" s="7">
        <v>8290</v>
      </c>
      <c r="H10" s="7">
        <v>4780</v>
      </c>
      <c r="I10" s="7">
        <v>590</v>
      </c>
      <c r="J10" s="7"/>
      <c r="K10" s="7">
        <f>Table2345345687911121514161718192021222324252627283456789101134567891011126789[[#This Row],[Account Transfer]]-Table2345345687911121514161718192021222324252627283456789101134567891011126789[[#This Row],[Expense Online]]</f>
        <v>4780</v>
      </c>
      <c r="L10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3779</v>
      </c>
      <c r="M10" s="7">
        <f>Table2345345687911121514161718192021222324252627283456789101134567891011126789[[#This Row],[Cash]]-Table2345345687911121514161718192021222324252627283456789101134567891011126789[[#This Row],[Expense]]</f>
        <v>7700</v>
      </c>
      <c r="O10" s="12" t="s">
        <v>3</v>
      </c>
      <c r="P10" s="12">
        <f>SUM(P3:P9)</f>
        <v>10723.9</v>
      </c>
      <c r="Q10" s="12">
        <f>SUM(Q3:Q9)</f>
        <v>32171.7</v>
      </c>
      <c r="R10" s="12">
        <f>SUM(R2:R9)</f>
        <v>75067.3</v>
      </c>
      <c r="S10" s="12">
        <f>SUM(S2:S9)</f>
        <v>107239</v>
      </c>
      <c r="T10" s="12">
        <f>SUM(T2:T9)</f>
        <v>35496</v>
      </c>
      <c r="U10" s="12">
        <f>SUM(U2:U9)</f>
        <v>71743</v>
      </c>
      <c r="V10" s="12">
        <f>SUM(V2:V9)</f>
        <v>11164</v>
      </c>
    </row>
    <row r="11" spans="1:22" x14ac:dyDescent="0.35">
      <c r="A11" s="6">
        <v>45697</v>
      </c>
      <c r="B11" s="7">
        <f>Table2345345687911121514161718192021222324252627283456789101134567891011126789[[#This Row],[Profit]]-Table2345345687911121514161718192021222324252627283456789101134567891011126789[[#This Row],[Mulbhag]]</f>
        <v>4944</v>
      </c>
      <c r="C11" s="43">
        <f>Table2345345687911121514161718192021222324252627283456789101134567891011126789[[#This Row],[Profit]]/3</f>
        <v>2472</v>
      </c>
      <c r="D11" s="7">
        <f t="shared" si="0"/>
        <v>7416</v>
      </c>
      <c r="E11" s="7">
        <f t="shared" si="1"/>
        <v>17304</v>
      </c>
      <c r="F11" s="7">
        <f t="shared" si="2"/>
        <v>24720</v>
      </c>
      <c r="G11" s="7">
        <v>14520</v>
      </c>
      <c r="H11" s="7">
        <v>10200</v>
      </c>
      <c r="I11" s="7">
        <v>6580</v>
      </c>
      <c r="J11" s="7"/>
      <c r="K11" s="7">
        <f>Table2345345687911121514161718192021222324252627283456789101134567891011126789[[#This Row],[Account Transfer]]-Table2345345687911121514161718192021222324252627283456789101134567891011126789[[#This Row],[Expense Online]]</f>
        <v>10200</v>
      </c>
      <c r="L11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524</v>
      </c>
      <c r="M11" s="7">
        <f>Table2345345687911121514161718192021222324252627283456789101134567891011126789[[#This Row],[Cash]]-Table2345345687911121514161718192021222324252627283456789101134567891011126789[[#This Row],[Expense]]</f>
        <v>7940</v>
      </c>
      <c r="O11" s="12" t="s">
        <v>7</v>
      </c>
      <c r="P11" s="12"/>
      <c r="Q11" s="12">
        <f>Q10/3</f>
        <v>10723.9</v>
      </c>
      <c r="R11" s="12"/>
      <c r="S11" s="12"/>
      <c r="T11" s="11"/>
      <c r="U11" s="11"/>
      <c r="V11" s="11"/>
    </row>
    <row r="12" spans="1:22" x14ac:dyDescent="0.35">
      <c r="A12" s="6">
        <v>45698</v>
      </c>
      <c r="B12" s="7">
        <f>Table2345345687911121514161718192021222324252627283456789101134567891011126789[[#This Row],[Profit]]-Table2345345687911121514161718192021222324252627283456789101134567891011126789[[#This Row],[Mulbhag]]</f>
        <v>1982</v>
      </c>
      <c r="C12" s="43">
        <f>Table2345345687911121514161718192021222324252627283456789101134567891011126789[[#This Row],[Profit]]/3</f>
        <v>991</v>
      </c>
      <c r="D12" s="7">
        <f t="shared" si="0"/>
        <v>2973</v>
      </c>
      <c r="E12" s="7">
        <f t="shared" si="1"/>
        <v>6937</v>
      </c>
      <c r="F12" s="7">
        <f t="shared" si="2"/>
        <v>9910</v>
      </c>
      <c r="G12" s="7">
        <v>6280</v>
      </c>
      <c r="H12" s="7">
        <v>3630</v>
      </c>
      <c r="I12" s="7">
        <v>4000</v>
      </c>
      <c r="J12" s="7"/>
      <c r="K12" s="7">
        <f>Table2345345687911121514161718192021222324252627283456789101134567891011126789[[#This Row],[Account Transfer]]-Table2345345687911121514161718192021222324252627283456789101134567891011126789[[#This Row],[Expense Online]]</f>
        <v>3630</v>
      </c>
      <c r="L12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-693</v>
      </c>
      <c r="M12" s="7">
        <f>Table2345345687911121514161718192021222324252627283456789101134567891011126789[[#This Row],[Cash]]-Table2345345687911121514161718192021222324252627283456789101134567891011126789[[#This Row],[Expense]]</f>
        <v>2280</v>
      </c>
    </row>
    <row r="13" spans="1:22" x14ac:dyDescent="0.35">
      <c r="A13" s="6">
        <v>45699</v>
      </c>
      <c r="B13" s="7">
        <f>Table2345345687911121514161718192021222324252627283456789101134567891011126789[[#This Row],[Profit]]-Table2345345687911121514161718192021222324252627283456789101134567891011126789[[#This Row],[Mulbhag]]</f>
        <v>13197</v>
      </c>
      <c r="C13" s="43">
        <f>Table2345345687911121514161718192021222324252627283456789101134567891011126789[[#This Row],[Profit]]/3</f>
        <v>6598.5</v>
      </c>
      <c r="D13" s="7">
        <f t="shared" si="0"/>
        <v>19795.5</v>
      </c>
      <c r="E13" s="7">
        <f t="shared" si="1"/>
        <v>46189.5</v>
      </c>
      <c r="F13" s="7">
        <f t="shared" si="2"/>
        <v>65985</v>
      </c>
      <c r="G13" s="7">
        <v>54685</v>
      </c>
      <c r="H13" s="7">
        <v>11300</v>
      </c>
      <c r="I13" s="7"/>
      <c r="J13" s="7"/>
      <c r="K13" s="7">
        <f>Table2345345687911121514161718192021222324252627283456789101134567891011126789[[#This Row],[Account Transfer]]-Table2345345687911121514161718192021222324252627283456789101134567891011126789[[#This Row],[Expense Online]]</f>
        <v>11300</v>
      </c>
      <c r="L13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34889.5</v>
      </c>
      <c r="M13" s="7">
        <f>Table2345345687911121514161718192021222324252627283456789101134567891011126789[[#This Row],[Cash]]-Table2345345687911121514161718192021222324252627283456789101134567891011126789[[#This Row],[Expense]]</f>
        <v>54685</v>
      </c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45700</v>
      </c>
      <c r="B14" s="7">
        <f>Table2345345687911121514161718192021222324252627283456789101134567891011126789[[#This Row],[Profit]]-Table2345345687911121514161718192021222324252627283456789101134567891011126789[[#This Row],[Mulbhag]]</f>
        <v>1813</v>
      </c>
      <c r="C14" s="43">
        <f>Table2345345687911121514161718192021222324252627283456789101134567891011126789[[#This Row],[Profit]]/3</f>
        <v>906.5</v>
      </c>
      <c r="D14" s="7">
        <f t="shared" si="0"/>
        <v>2719.5</v>
      </c>
      <c r="E14" s="7">
        <f t="shared" si="1"/>
        <v>6345.5</v>
      </c>
      <c r="F14" s="7">
        <f t="shared" si="2"/>
        <v>9065</v>
      </c>
      <c r="G14" s="7">
        <v>585</v>
      </c>
      <c r="H14" s="7">
        <v>8480</v>
      </c>
      <c r="I14" s="7"/>
      <c r="J14" s="7"/>
      <c r="K14" s="7">
        <f>Table2345345687911121514161718192021222324252627283456789101134567891011126789[[#This Row],[Account Transfer]]-Table2345345687911121514161718192021222324252627283456789101134567891011126789[[#This Row],[Expense Online]]</f>
        <v>8480</v>
      </c>
      <c r="L14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-2134.5</v>
      </c>
      <c r="M14" s="7">
        <f>Table2345345687911121514161718192021222324252627283456789101134567891011126789[[#This Row],[Cash]]-Table2345345687911121514161718192021222324252627283456789101134567891011126789[[#This Row],[Expense]]</f>
        <v>585</v>
      </c>
      <c r="O14" s="10">
        <f t="shared" ref="O14:O20" si="11">A10</f>
        <v>45696</v>
      </c>
      <c r="P14" s="11">
        <f>Q14/3</f>
        <v>1307</v>
      </c>
      <c r="Q14" s="11">
        <f>S14*0.3</f>
        <v>3921</v>
      </c>
      <c r="R14" s="11">
        <f t="shared" ref="R14:R20" si="12">S14-Q14</f>
        <v>9149</v>
      </c>
      <c r="S14" s="11">
        <f>T14+U14</f>
        <v>13070</v>
      </c>
      <c r="T14" s="11">
        <f t="shared" ref="T14:T20" si="13">VLOOKUP(O14,$A$1:$J$34,7,0)</f>
        <v>8290</v>
      </c>
      <c r="U14" s="11">
        <f t="shared" ref="U14:U20" si="14">VLOOKUP(O14,$A$1:$J$34,8,0)</f>
        <v>4780</v>
      </c>
      <c r="V14" s="11">
        <f t="shared" ref="V14:V20" si="15">VLOOKUP(O14,$A$1:$J$34,9,0)</f>
        <v>590</v>
      </c>
    </row>
    <row r="15" spans="1:22" x14ac:dyDescent="0.35">
      <c r="A15" s="6">
        <v>45701</v>
      </c>
      <c r="B15" s="7">
        <f>Table2345345687911121514161718192021222324252627283456789101134567891011126789[[#This Row],[Profit]]-Table2345345687911121514161718192021222324252627283456789101134567891011126789[[#This Row],[Mulbhag]]</f>
        <v>5626</v>
      </c>
      <c r="C15" s="43">
        <f>Table2345345687911121514161718192021222324252627283456789101134567891011126789[[#This Row],[Profit]]/3</f>
        <v>2813</v>
      </c>
      <c r="D15" s="7">
        <f t="shared" si="0"/>
        <v>8439</v>
      </c>
      <c r="E15" s="7">
        <f t="shared" si="1"/>
        <v>19691</v>
      </c>
      <c r="F15" s="7">
        <f t="shared" si="2"/>
        <v>28130</v>
      </c>
      <c r="G15" s="7">
        <v>900</v>
      </c>
      <c r="H15" s="7">
        <v>27230</v>
      </c>
      <c r="I15" s="7"/>
      <c r="J15" s="7"/>
      <c r="K15" s="7">
        <f>Table2345345687911121514161718192021222324252627283456789101134567891011126789[[#This Row],[Account Transfer]]-Table2345345687911121514161718192021222324252627283456789101134567891011126789[[#This Row],[Expense Online]]</f>
        <v>27230</v>
      </c>
      <c r="L15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-7539</v>
      </c>
      <c r="M15" s="7">
        <f>Table2345345687911121514161718192021222324252627283456789101134567891011126789[[#This Row],[Cash]]-Table2345345687911121514161718192021222324252627283456789101134567891011126789[[#This Row],[Expense]]</f>
        <v>900</v>
      </c>
      <c r="O15" s="8">
        <f t="shared" si="11"/>
        <v>45697</v>
      </c>
      <c r="P15" s="9">
        <f>Q15/3</f>
        <v>2472</v>
      </c>
      <c r="Q15" s="9">
        <f>S15*0.3</f>
        <v>7416</v>
      </c>
      <c r="R15" s="9">
        <f t="shared" si="12"/>
        <v>17304</v>
      </c>
      <c r="S15" s="9">
        <f t="shared" ref="S15:S20" si="16">T15+U15</f>
        <v>24720</v>
      </c>
      <c r="T15" s="9">
        <f t="shared" si="13"/>
        <v>14520</v>
      </c>
      <c r="U15" s="9">
        <f t="shared" si="14"/>
        <v>10200</v>
      </c>
      <c r="V15" s="9">
        <f t="shared" si="15"/>
        <v>6580</v>
      </c>
    </row>
    <row r="16" spans="1:22" x14ac:dyDescent="0.35">
      <c r="A16" s="6">
        <v>45702</v>
      </c>
      <c r="B16" s="7">
        <f>Table2345345687911121514161718192021222324252627283456789101134567891011126789[[#This Row],[Profit]]-Table2345345687911121514161718192021222324252627283456789101134567891011126789[[#This Row],[Mulbhag]]</f>
        <v>3827.3999999999996</v>
      </c>
      <c r="C16" s="43">
        <f>Table2345345687911121514161718192021222324252627283456789101134567891011126789[[#This Row],[Profit]]/3</f>
        <v>1913.6999999999998</v>
      </c>
      <c r="D16" s="7">
        <f t="shared" si="0"/>
        <v>5741.0999999999995</v>
      </c>
      <c r="E16" s="7">
        <f t="shared" si="1"/>
        <v>13395.900000000001</v>
      </c>
      <c r="F16" s="7">
        <f t="shared" si="2"/>
        <v>19137</v>
      </c>
      <c r="G16" s="7">
        <v>6360</v>
      </c>
      <c r="H16" s="7">
        <v>12777</v>
      </c>
      <c r="I16" s="7"/>
      <c r="J16" s="7"/>
      <c r="K16" s="7">
        <f>Table2345345687911121514161718192021222324252627283456789101134567891011126789[[#This Row],[Account Transfer]]-Table2345345687911121514161718192021222324252627283456789101134567891011126789[[#This Row],[Expense Online]]</f>
        <v>12777</v>
      </c>
      <c r="L16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618.90000000000055</v>
      </c>
      <c r="M16" s="7">
        <f>Table2345345687911121514161718192021222324252627283456789101134567891011126789[[#This Row],[Cash]]-Table2345345687911121514161718192021222324252627283456789101134567891011126789[[#This Row],[Expense]]</f>
        <v>6360</v>
      </c>
      <c r="O16" s="10">
        <f t="shared" si="11"/>
        <v>45698</v>
      </c>
      <c r="P16" s="11">
        <f t="shared" ref="P16:P20" si="17">Q16/3</f>
        <v>991</v>
      </c>
      <c r="Q16" s="11">
        <f t="shared" ref="Q16:Q20" si="18">S16*0.3</f>
        <v>2973</v>
      </c>
      <c r="R16" s="11">
        <f t="shared" si="12"/>
        <v>6937</v>
      </c>
      <c r="S16" s="11">
        <f t="shared" si="16"/>
        <v>9910</v>
      </c>
      <c r="T16" s="11">
        <f t="shared" si="13"/>
        <v>6280</v>
      </c>
      <c r="U16" s="11">
        <f t="shared" si="14"/>
        <v>3630</v>
      </c>
      <c r="V16" s="11">
        <f t="shared" si="15"/>
        <v>4000</v>
      </c>
    </row>
    <row r="17" spans="1:22" x14ac:dyDescent="0.35">
      <c r="A17" s="6">
        <v>45703</v>
      </c>
      <c r="B17" s="7">
        <f>Table2345345687911121514161718192021222324252627283456789101134567891011126789[[#This Row],[Profit]]-Table2345345687911121514161718192021222324252627283456789101134567891011126789[[#This Row],[Mulbhag]]</f>
        <v>4416.7999999999993</v>
      </c>
      <c r="C17" s="43">
        <f>Table2345345687911121514161718192021222324252627283456789101134567891011126789[[#This Row],[Profit]]/3</f>
        <v>2208.4</v>
      </c>
      <c r="D17" s="7">
        <f t="shared" si="0"/>
        <v>6625.2</v>
      </c>
      <c r="E17" s="7">
        <f t="shared" si="1"/>
        <v>15458.8</v>
      </c>
      <c r="F17" s="7">
        <f t="shared" si="2"/>
        <v>22084</v>
      </c>
      <c r="G17" s="7">
        <v>4770</v>
      </c>
      <c r="H17" s="7">
        <v>17314</v>
      </c>
      <c r="I17" s="7"/>
      <c r="J17" s="7"/>
      <c r="K17" s="7">
        <f>Table2345345687911121514161718192021222324252627283456789101134567891011126789[[#This Row],[Account Transfer]]-Table2345345687911121514161718192021222324252627283456789101134567891011126789[[#This Row],[Expense Online]]</f>
        <v>17314</v>
      </c>
      <c r="L17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-1855.1999999999994</v>
      </c>
      <c r="M17" s="7">
        <f>Table2345345687911121514161718192021222324252627283456789101134567891011126789[[#This Row],[Cash]]-Table2345345687911121514161718192021222324252627283456789101134567891011126789[[#This Row],[Expense]]</f>
        <v>4770</v>
      </c>
      <c r="O17" s="8">
        <f t="shared" si="11"/>
        <v>45699</v>
      </c>
      <c r="P17" s="9">
        <f t="shared" si="17"/>
        <v>6598.5</v>
      </c>
      <c r="Q17" s="9">
        <f t="shared" si="18"/>
        <v>19795.5</v>
      </c>
      <c r="R17" s="9">
        <f t="shared" si="12"/>
        <v>46189.5</v>
      </c>
      <c r="S17" s="9">
        <f t="shared" si="16"/>
        <v>65985</v>
      </c>
      <c r="T17" s="9">
        <f t="shared" si="13"/>
        <v>54685</v>
      </c>
      <c r="U17" s="9">
        <f t="shared" si="14"/>
        <v>11300</v>
      </c>
      <c r="V17" s="9">
        <f t="shared" si="15"/>
        <v>0</v>
      </c>
    </row>
    <row r="18" spans="1:22" x14ac:dyDescent="0.35">
      <c r="A18" s="6">
        <v>45704</v>
      </c>
      <c r="B18" s="7">
        <f>Table2345345687911121514161718192021222324252627283456789101134567891011126789[[#This Row],[Profit]]-Table2345345687911121514161718192021222324252627283456789101134567891011126789[[#This Row],[Mulbhag]]</f>
        <v>2600</v>
      </c>
      <c r="C18" s="43">
        <f>Table2345345687911121514161718192021222324252627283456789101134567891011126789[[#This Row],[Profit]]/3</f>
        <v>1300</v>
      </c>
      <c r="D18" s="7">
        <f t="shared" si="0"/>
        <v>3900</v>
      </c>
      <c r="E18" s="7">
        <f t="shared" si="1"/>
        <v>9100</v>
      </c>
      <c r="F18" s="7">
        <f t="shared" si="2"/>
        <v>13000</v>
      </c>
      <c r="G18" s="7">
        <v>7800</v>
      </c>
      <c r="H18" s="7">
        <v>5200</v>
      </c>
      <c r="I18" s="7"/>
      <c r="J18" s="7"/>
      <c r="K18" s="7">
        <f>Table2345345687911121514161718192021222324252627283456789101134567891011126789[[#This Row],[Account Transfer]]-Table2345345687911121514161718192021222324252627283456789101134567891011126789[[#This Row],[Expense Online]]</f>
        <v>5200</v>
      </c>
      <c r="L18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3900</v>
      </c>
      <c r="M18" s="7">
        <f>Table2345345687911121514161718192021222324252627283456789101134567891011126789[[#This Row],[Cash]]-Table2345345687911121514161718192021222324252627283456789101134567891011126789[[#This Row],[Expense]]</f>
        <v>7800</v>
      </c>
      <c r="O18" s="10">
        <f t="shared" si="11"/>
        <v>45700</v>
      </c>
      <c r="P18" s="11">
        <f t="shared" si="17"/>
        <v>906.5</v>
      </c>
      <c r="Q18" s="11">
        <f t="shared" si="18"/>
        <v>2719.5</v>
      </c>
      <c r="R18" s="11">
        <f t="shared" si="12"/>
        <v>6345.5</v>
      </c>
      <c r="S18" s="11">
        <f t="shared" si="16"/>
        <v>9065</v>
      </c>
      <c r="T18" s="11">
        <f t="shared" si="13"/>
        <v>585</v>
      </c>
      <c r="U18" s="11">
        <f t="shared" si="14"/>
        <v>8480</v>
      </c>
      <c r="V18" s="11">
        <f t="shared" si="15"/>
        <v>0</v>
      </c>
    </row>
    <row r="19" spans="1:22" x14ac:dyDescent="0.35">
      <c r="A19" s="6">
        <v>45705</v>
      </c>
      <c r="B19" s="7">
        <f>Table2345345687911121514161718192021222324252627283456789101134567891011126789[[#This Row],[Profit]]-Table2345345687911121514161718192021222324252627283456789101134567891011126789[[#This Row],[Mulbhag]]</f>
        <v>1540</v>
      </c>
      <c r="C19" s="43">
        <f>Table2345345687911121514161718192021222324252627283456789101134567891011126789[[#This Row],[Profit]]/3</f>
        <v>770</v>
      </c>
      <c r="D19" s="7">
        <f t="shared" si="0"/>
        <v>2310</v>
      </c>
      <c r="E19" s="7">
        <f t="shared" si="1"/>
        <v>5390</v>
      </c>
      <c r="F19" s="7">
        <f t="shared" si="2"/>
        <v>7700</v>
      </c>
      <c r="G19" s="7">
        <v>7700</v>
      </c>
      <c r="H19" s="7"/>
      <c r="I19" s="7"/>
      <c r="J19" s="7"/>
      <c r="K19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19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5390</v>
      </c>
      <c r="M19" s="7">
        <f>Table2345345687911121514161718192021222324252627283456789101134567891011126789[[#This Row],[Cash]]-Table2345345687911121514161718192021222324252627283456789101134567891011126789[[#This Row],[Expense]]</f>
        <v>7700</v>
      </c>
      <c r="O19" s="8">
        <f t="shared" si="11"/>
        <v>45701</v>
      </c>
      <c r="P19" s="9">
        <f t="shared" si="17"/>
        <v>2813</v>
      </c>
      <c r="Q19" s="9">
        <f t="shared" si="18"/>
        <v>8439</v>
      </c>
      <c r="R19" s="9">
        <f t="shared" si="12"/>
        <v>19691</v>
      </c>
      <c r="S19" s="9">
        <f t="shared" si="16"/>
        <v>28130</v>
      </c>
      <c r="T19" s="9">
        <f t="shared" si="13"/>
        <v>900</v>
      </c>
      <c r="U19" s="9">
        <f t="shared" si="14"/>
        <v>27230</v>
      </c>
      <c r="V19" s="9">
        <f t="shared" si="15"/>
        <v>0</v>
      </c>
    </row>
    <row r="20" spans="1:22" x14ac:dyDescent="0.35">
      <c r="A20" s="6">
        <v>45706</v>
      </c>
      <c r="B20" s="7">
        <f>Table2345345687911121514161718192021222324252627283456789101134567891011126789[[#This Row],[Profit]]-Table2345345687911121514161718192021222324252627283456789101134567891011126789[[#This Row],[Mulbhag]]</f>
        <v>3756</v>
      </c>
      <c r="C20" s="43">
        <f>Table2345345687911121514161718192021222324252627283456789101134567891011126789[[#This Row],[Profit]]/3</f>
        <v>1878</v>
      </c>
      <c r="D20" s="7">
        <f t="shared" si="0"/>
        <v>5634</v>
      </c>
      <c r="E20" s="7">
        <f t="shared" si="1"/>
        <v>13146</v>
      </c>
      <c r="F20" s="7">
        <f t="shared" si="2"/>
        <v>18780</v>
      </c>
      <c r="G20" s="7">
        <v>5630</v>
      </c>
      <c r="H20" s="7">
        <v>13150</v>
      </c>
      <c r="I20" s="7"/>
      <c r="J20" s="7"/>
      <c r="K20" s="7">
        <f>Table2345345687911121514161718192021222324252627283456789101134567891011126789[[#This Row],[Account Transfer]]-Table2345345687911121514161718192021222324252627283456789101134567891011126789[[#This Row],[Expense Online]]</f>
        <v>13150</v>
      </c>
      <c r="L20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-4</v>
      </c>
      <c r="M20" s="7">
        <f>Table2345345687911121514161718192021222324252627283456789101134567891011126789[[#This Row],[Cash]]-Table2345345687911121514161718192021222324252627283456789101134567891011126789[[#This Row],[Expense]]</f>
        <v>5630</v>
      </c>
      <c r="O20" s="10">
        <f t="shared" si="11"/>
        <v>45702</v>
      </c>
      <c r="P20" s="11">
        <f t="shared" si="17"/>
        <v>1913.6999999999998</v>
      </c>
      <c r="Q20" s="11">
        <f t="shared" si="18"/>
        <v>5741.0999999999995</v>
      </c>
      <c r="R20" s="11">
        <f t="shared" si="12"/>
        <v>13395.900000000001</v>
      </c>
      <c r="S20" s="11">
        <f t="shared" si="16"/>
        <v>19137</v>
      </c>
      <c r="T20" s="11">
        <f t="shared" si="13"/>
        <v>6360</v>
      </c>
      <c r="U20" s="11">
        <f t="shared" si="14"/>
        <v>12777</v>
      </c>
      <c r="V20" s="11">
        <f t="shared" si="15"/>
        <v>0</v>
      </c>
    </row>
    <row r="21" spans="1:22" x14ac:dyDescent="0.35">
      <c r="A21" s="6">
        <v>45707</v>
      </c>
      <c r="B21" s="7">
        <f>Table2345345687911121514161718192021222324252627283456789101134567891011126789[[#This Row],[Profit]]-Table2345345687911121514161718192021222324252627283456789101134567891011126789[[#This Row],[Mulbhag]]</f>
        <v>5244</v>
      </c>
      <c r="C21" s="43">
        <f>Table2345345687911121514161718192021222324252627283456789101134567891011126789[[#This Row],[Profit]]/3</f>
        <v>2622</v>
      </c>
      <c r="D21" s="7">
        <f t="shared" si="0"/>
        <v>7866</v>
      </c>
      <c r="E21" s="7">
        <f t="shared" si="1"/>
        <v>18354</v>
      </c>
      <c r="F21" s="7">
        <f t="shared" si="2"/>
        <v>26220</v>
      </c>
      <c r="G21" s="7">
        <v>900</v>
      </c>
      <c r="H21" s="7">
        <v>25320</v>
      </c>
      <c r="I21" s="7"/>
      <c r="J21" s="7"/>
      <c r="K21" s="7">
        <f>Table2345345687911121514161718192021222324252627283456789101134567891011126789[[#This Row],[Account Transfer]]-Table2345345687911121514161718192021222324252627283456789101134567891011126789[[#This Row],[Expense Online]]</f>
        <v>25320</v>
      </c>
      <c r="L21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-6966</v>
      </c>
      <c r="M21" s="7">
        <f>Table2345345687911121514161718192021222324252627283456789101134567891011126789[[#This Row],[Cash]]-Table2345345687911121514161718192021222324252627283456789101134567891011126789[[#This Row],[Expense]]</f>
        <v>900</v>
      </c>
      <c r="O21" s="12" t="s">
        <v>3</v>
      </c>
      <c r="P21" s="12">
        <f>SUM(P14:P20)</f>
        <v>17001.7</v>
      </c>
      <c r="Q21" s="12">
        <f t="shared" ref="Q21:V21" si="19">SUM(Q14:Q20)</f>
        <v>51005.1</v>
      </c>
      <c r="R21" s="12">
        <f t="shared" si="19"/>
        <v>119011.9</v>
      </c>
      <c r="S21" s="12">
        <f t="shared" si="19"/>
        <v>170017</v>
      </c>
      <c r="T21" s="12">
        <f t="shared" si="19"/>
        <v>91620</v>
      </c>
      <c r="U21" s="12">
        <f t="shared" si="19"/>
        <v>78397</v>
      </c>
      <c r="V21" s="12">
        <f t="shared" si="19"/>
        <v>11170</v>
      </c>
    </row>
    <row r="22" spans="1:22" x14ac:dyDescent="0.35">
      <c r="A22" s="6">
        <v>45708</v>
      </c>
      <c r="B22" s="7">
        <f>Table2345345687911121514161718192021222324252627283456789101134567891011126789[[#This Row],[Profit]]-Table2345345687911121514161718192021222324252627283456789101134567891011126789[[#This Row],[Mulbhag]]</f>
        <v>1558.1999999999998</v>
      </c>
      <c r="C22" s="43">
        <f>Table2345345687911121514161718192021222324252627283456789101134567891011126789[[#This Row],[Profit]]/3</f>
        <v>779.09999999999991</v>
      </c>
      <c r="D22" s="7">
        <f t="shared" si="0"/>
        <v>2337.2999999999997</v>
      </c>
      <c r="E22" s="7">
        <f t="shared" si="1"/>
        <v>5453.7000000000007</v>
      </c>
      <c r="F22" s="7">
        <f t="shared" si="2"/>
        <v>7791</v>
      </c>
      <c r="G22" s="7">
        <v>1680</v>
      </c>
      <c r="H22" s="7">
        <v>6111</v>
      </c>
      <c r="I22" s="7"/>
      <c r="J22" s="7"/>
      <c r="K22" s="7">
        <f>Table2345345687911121514161718192021222324252627283456789101134567891011126789[[#This Row],[Account Transfer]]-Table2345345687911121514161718192021222324252627283456789101134567891011126789[[#This Row],[Expense Online]]</f>
        <v>6111</v>
      </c>
      <c r="L22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-657.29999999999973</v>
      </c>
      <c r="M22" s="7">
        <f>Table2345345687911121514161718192021222324252627283456789101134567891011126789[[#This Row],[Cash]]-Table2345345687911121514161718192021222324252627283456789101134567891011126789[[#This Row],[Expense]]</f>
        <v>1680</v>
      </c>
      <c r="O22" s="12" t="s">
        <v>7</v>
      </c>
      <c r="P22" s="12"/>
      <c r="Q22" s="12">
        <f>Q21/3</f>
        <v>17001.7</v>
      </c>
      <c r="R22" s="12"/>
      <c r="S22" s="12">
        <f>R22+Q22</f>
        <v>17001.7</v>
      </c>
      <c r="T22" s="11"/>
      <c r="U22" s="11"/>
      <c r="V22" s="11"/>
    </row>
    <row r="23" spans="1:22" x14ac:dyDescent="0.35">
      <c r="A23" s="6">
        <v>45709</v>
      </c>
      <c r="B23" s="7">
        <f>Table2345345687911121514161718192021222324252627283456789101134567891011126789[[#This Row],[Profit]]-Table2345345687911121514161718192021222324252627283456789101134567891011126789[[#This Row],[Mulbhag]]</f>
        <v>3086.2</v>
      </c>
      <c r="C23" s="43">
        <f>Table2345345687911121514161718192021222324252627283456789101134567891011126789[[#This Row],[Profit]]/3</f>
        <v>1543.1000000000001</v>
      </c>
      <c r="D23" s="7">
        <f t="shared" si="0"/>
        <v>4629.3</v>
      </c>
      <c r="E23" s="7">
        <f t="shared" si="1"/>
        <v>10801.7</v>
      </c>
      <c r="F23" s="7">
        <f t="shared" si="2"/>
        <v>15431</v>
      </c>
      <c r="G23" s="7">
        <v>2681</v>
      </c>
      <c r="H23" s="7">
        <v>12750</v>
      </c>
      <c r="I23" s="7"/>
      <c r="J23" s="7"/>
      <c r="K23" s="7">
        <f>Table2345345687911121514161718192021222324252627283456789101134567891011126789[[#This Row],[Account Transfer]]-Table2345345687911121514161718192021222324252627283456789101134567891011126789[[#This Row],[Expense Online]]</f>
        <v>12750</v>
      </c>
      <c r="L23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-1948.3</v>
      </c>
      <c r="M23" s="7">
        <f>Table2345345687911121514161718192021222324252627283456789101134567891011126789[[#This Row],[Cash]]-Table2345345687911121514161718192021222324252627283456789101134567891011126789[[#This Row],[Expense]]</f>
        <v>2681</v>
      </c>
    </row>
    <row r="24" spans="1:22" x14ac:dyDescent="0.35">
      <c r="A24" s="6">
        <v>45710</v>
      </c>
      <c r="B24" s="7">
        <f>Table2345345687911121514161718192021222324252627283456789101134567891011126789[[#This Row],[Profit]]-Table2345345687911121514161718192021222324252627283456789101134567891011126789[[#This Row],[Mulbhag]]</f>
        <v>10266.399999999998</v>
      </c>
      <c r="C24" s="43">
        <f>Table2345345687911121514161718192021222324252627283456789101134567891011126789[[#This Row],[Profit]]/3</f>
        <v>5133.2</v>
      </c>
      <c r="D24" s="7">
        <f t="shared" si="0"/>
        <v>15399.599999999999</v>
      </c>
      <c r="E24" s="7">
        <f t="shared" si="1"/>
        <v>35932.400000000001</v>
      </c>
      <c r="F24" s="7">
        <f t="shared" si="2"/>
        <v>51332</v>
      </c>
      <c r="G24" s="7">
        <v>15950</v>
      </c>
      <c r="H24" s="7">
        <v>35382</v>
      </c>
      <c r="I24" s="7"/>
      <c r="J24" s="7"/>
      <c r="K24" s="7">
        <f>Table2345345687911121514161718192021222324252627283456789101134567891011126789[[#This Row],[Account Transfer]]-Table2345345687911121514161718192021222324252627283456789101134567891011126789[[#This Row],[Expense Online]]</f>
        <v>35382</v>
      </c>
      <c r="L24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550.40000000000146</v>
      </c>
      <c r="M24" s="7">
        <f>Table2345345687911121514161718192021222324252627283456789101134567891011126789[[#This Row],[Cash]]-Table2345345687911121514161718192021222324252627283456789101134567891011126789[[#This Row],[Expense]]</f>
        <v>15950</v>
      </c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45711</v>
      </c>
      <c r="B25" s="7">
        <f>Table2345345687911121514161718192021222324252627283456789101134567891011126789[[#This Row],[Profit]]-Table2345345687911121514161718192021222324252627283456789101134567891011126789[[#This Row],[Mulbhag]]</f>
        <v>3814</v>
      </c>
      <c r="C25" s="43">
        <f>Table2345345687911121514161718192021222324252627283456789101134567891011126789[[#This Row],[Profit]]/3</f>
        <v>1907</v>
      </c>
      <c r="D25" s="7">
        <f t="shared" si="0"/>
        <v>5721</v>
      </c>
      <c r="E25" s="7">
        <f t="shared" si="1"/>
        <v>13349</v>
      </c>
      <c r="F25" s="7">
        <f t="shared" si="2"/>
        <v>19070</v>
      </c>
      <c r="G25" s="7">
        <v>7750</v>
      </c>
      <c r="H25" s="7">
        <v>11320</v>
      </c>
      <c r="I25" s="7"/>
      <c r="J25" s="7"/>
      <c r="K25" s="7">
        <f>Table2345345687911121514161718192021222324252627283456789101134567891011126789[[#This Row],[Account Transfer]]-Table2345345687911121514161718192021222324252627283456789101134567891011126789[[#This Row],[Expense Online]]</f>
        <v>11320</v>
      </c>
      <c r="L25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2029</v>
      </c>
      <c r="M25" s="7">
        <f>Table2345345687911121514161718192021222324252627283456789101134567891011126789[[#This Row],[Cash]]-Table2345345687911121514161718192021222324252627283456789101134567891011126789[[#This Row],[Expense]]</f>
        <v>7750</v>
      </c>
      <c r="O25" s="10">
        <f t="shared" ref="O25:O31" si="20">A17</f>
        <v>45703</v>
      </c>
      <c r="P25" s="11">
        <f>Q25/3</f>
        <v>2208.4</v>
      </c>
      <c r="Q25" s="11">
        <f>S25*0.3</f>
        <v>6625.2</v>
      </c>
      <c r="R25" s="11">
        <f t="shared" ref="R25:R31" si="21">S25-Q25</f>
        <v>15458.8</v>
      </c>
      <c r="S25" s="11">
        <f>T25+U25</f>
        <v>22084</v>
      </c>
      <c r="T25" s="11">
        <f t="shared" ref="T25:T31" si="22">VLOOKUP(O25,$A$1:$J$34,7,0)</f>
        <v>4770</v>
      </c>
      <c r="U25" s="11">
        <f t="shared" ref="U25:U31" si="23">VLOOKUP(O25,$A$1:$J$34,8,0)</f>
        <v>17314</v>
      </c>
      <c r="V25" s="11">
        <f t="shared" ref="V25:V31" si="24">VLOOKUP(O25,$A$1:$J$34,9,0)</f>
        <v>0</v>
      </c>
    </row>
    <row r="26" spans="1:22" x14ac:dyDescent="0.35">
      <c r="A26" s="6">
        <v>45712</v>
      </c>
      <c r="B26" s="7">
        <f>Table2345345687911121514161718192021222324252627283456789101134567891011126789[[#This Row],[Profit]]-Table2345345687911121514161718192021222324252627283456789101134567891011126789[[#This Row],[Mulbhag]]</f>
        <v>2068</v>
      </c>
      <c r="C26" s="43">
        <f>Table2345345687911121514161718192021222324252627283456789101134567891011126789[[#This Row],[Profit]]/3</f>
        <v>1034</v>
      </c>
      <c r="D26" s="7">
        <f t="shared" si="0"/>
        <v>3102</v>
      </c>
      <c r="E26" s="7">
        <f t="shared" si="1"/>
        <v>7238</v>
      </c>
      <c r="F26" s="7">
        <f t="shared" si="2"/>
        <v>10340</v>
      </c>
      <c r="G26" s="7">
        <v>2280</v>
      </c>
      <c r="H26" s="7">
        <v>8060</v>
      </c>
      <c r="I26" s="7"/>
      <c r="J26" s="7"/>
      <c r="K26" s="7">
        <f>Table2345345687911121514161718192021222324252627283456789101134567891011126789[[#This Row],[Account Transfer]]-Table2345345687911121514161718192021222324252627283456789101134567891011126789[[#This Row],[Expense Online]]</f>
        <v>8060</v>
      </c>
      <c r="L26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-822</v>
      </c>
      <c r="M26" s="7">
        <f>Table2345345687911121514161718192021222324252627283456789101134567891011126789[[#This Row],[Cash]]-Table2345345687911121514161718192021222324252627283456789101134567891011126789[[#This Row],[Expense]]</f>
        <v>2280</v>
      </c>
      <c r="O26" s="8">
        <f t="shared" si="20"/>
        <v>45704</v>
      </c>
      <c r="P26" s="9">
        <f>Q26/3</f>
        <v>1300</v>
      </c>
      <c r="Q26" s="9">
        <f>S26*0.3</f>
        <v>3900</v>
      </c>
      <c r="R26" s="9">
        <f t="shared" si="21"/>
        <v>9100</v>
      </c>
      <c r="S26" s="9">
        <f t="shared" ref="S26:S31" si="25">T26+U26</f>
        <v>13000</v>
      </c>
      <c r="T26" s="9">
        <f t="shared" si="22"/>
        <v>7800</v>
      </c>
      <c r="U26" s="9">
        <f t="shared" si="23"/>
        <v>5200</v>
      </c>
      <c r="V26" s="9">
        <f t="shared" si="24"/>
        <v>0</v>
      </c>
    </row>
    <row r="27" spans="1:22" x14ac:dyDescent="0.35">
      <c r="A27" s="6">
        <v>45713</v>
      </c>
      <c r="B27" s="7">
        <f>Table2345345687911121514161718192021222324252627283456789101134567891011126789[[#This Row],[Profit]]-Table2345345687911121514161718192021222324252627283456789101134567891011126789[[#This Row],[Mulbhag]]</f>
        <v>2570</v>
      </c>
      <c r="C27" s="43">
        <f>Table2345345687911121514161718192021222324252627283456789101134567891011126789[[#This Row],[Profit]]/3</f>
        <v>1285</v>
      </c>
      <c r="D27" s="7">
        <f t="shared" si="0"/>
        <v>3855</v>
      </c>
      <c r="E27" s="7">
        <f t="shared" si="1"/>
        <v>8995</v>
      </c>
      <c r="F27" s="7">
        <f t="shared" si="2"/>
        <v>12850</v>
      </c>
      <c r="G27" s="7">
        <v>2670</v>
      </c>
      <c r="H27" s="7">
        <v>10180</v>
      </c>
      <c r="I27" s="7"/>
      <c r="J27" s="7"/>
      <c r="K27" s="7">
        <f>Table2345345687911121514161718192021222324252627283456789101134567891011126789[[#This Row],[Account Transfer]]-Table2345345687911121514161718192021222324252627283456789101134567891011126789[[#This Row],[Expense Online]]</f>
        <v>10180</v>
      </c>
      <c r="L27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-1185</v>
      </c>
      <c r="M27" s="7">
        <f>Table2345345687911121514161718192021222324252627283456789101134567891011126789[[#This Row],[Cash]]-Table2345345687911121514161718192021222324252627283456789101134567891011126789[[#This Row],[Expense]]</f>
        <v>2670</v>
      </c>
      <c r="O27" s="10">
        <f t="shared" si="20"/>
        <v>45705</v>
      </c>
      <c r="P27" s="11">
        <f t="shared" ref="P27:P31" si="26">Q27/3</f>
        <v>770</v>
      </c>
      <c r="Q27" s="11">
        <f t="shared" ref="Q27:Q31" si="27">S27*0.3</f>
        <v>2310</v>
      </c>
      <c r="R27" s="11">
        <f t="shared" si="21"/>
        <v>5390</v>
      </c>
      <c r="S27" s="11">
        <f t="shared" si="25"/>
        <v>7700</v>
      </c>
      <c r="T27" s="11">
        <f t="shared" si="22"/>
        <v>7700</v>
      </c>
      <c r="U27" s="11">
        <f t="shared" si="23"/>
        <v>0</v>
      </c>
      <c r="V27" s="11">
        <f t="shared" si="24"/>
        <v>0</v>
      </c>
    </row>
    <row r="28" spans="1:22" x14ac:dyDescent="0.35">
      <c r="A28" s="6">
        <v>45714</v>
      </c>
      <c r="B28" s="7">
        <f>Table2345345687911121514161718192021222324252627283456789101134567891011126789[[#This Row],[Profit]]-Table2345345687911121514161718192021222324252627283456789101134567891011126789[[#This Row],[Mulbhag]]</f>
        <v>3125</v>
      </c>
      <c r="C28" s="43">
        <f>Table2345345687911121514161718192021222324252627283456789101134567891011126789[[#This Row],[Profit]]/3</f>
        <v>1562.5</v>
      </c>
      <c r="D28" s="7">
        <f t="shared" si="0"/>
        <v>4687.5</v>
      </c>
      <c r="E28" s="7">
        <f t="shared" si="1"/>
        <v>10937.5</v>
      </c>
      <c r="F28" s="7">
        <f t="shared" si="2"/>
        <v>15625</v>
      </c>
      <c r="G28" s="7">
        <v>5739</v>
      </c>
      <c r="H28" s="7">
        <v>9886</v>
      </c>
      <c r="I28" s="7"/>
      <c r="J28" s="7"/>
      <c r="K28" s="7">
        <f>Table2345345687911121514161718192021222324252627283456789101134567891011126789[[#This Row],[Account Transfer]]-Table2345345687911121514161718192021222324252627283456789101134567891011126789[[#This Row],[Expense Online]]</f>
        <v>9886</v>
      </c>
      <c r="L28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1051.5</v>
      </c>
      <c r="M28" s="7">
        <f>Table2345345687911121514161718192021222324252627283456789101134567891011126789[[#This Row],[Cash]]-Table2345345687911121514161718192021222324252627283456789101134567891011126789[[#This Row],[Expense]]</f>
        <v>5739</v>
      </c>
      <c r="O28" s="8">
        <f t="shared" si="20"/>
        <v>45706</v>
      </c>
      <c r="P28" s="9">
        <f t="shared" si="26"/>
        <v>1878</v>
      </c>
      <c r="Q28" s="9">
        <f t="shared" si="27"/>
        <v>5634</v>
      </c>
      <c r="R28" s="9">
        <f t="shared" si="21"/>
        <v>13146</v>
      </c>
      <c r="S28" s="9">
        <f t="shared" si="25"/>
        <v>18780</v>
      </c>
      <c r="T28" s="9">
        <f t="shared" si="22"/>
        <v>5630</v>
      </c>
      <c r="U28" s="9">
        <f t="shared" si="23"/>
        <v>13150</v>
      </c>
      <c r="V28" s="9">
        <f t="shared" si="24"/>
        <v>0</v>
      </c>
    </row>
    <row r="29" spans="1:22" x14ac:dyDescent="0.35">
      <c r="A29" s="6">
        <v>45715</v>
      </c>
      <c r="B29" s="7">
        <f>Table2345345687911121514161718192021222324252627283456789101134567891011126789[[#This Row],[Profit]]-Table2345345687911121514161718192021222324252627283456789101134567891011126789[[#This Row],[Mulbhag]]</f>
        <v>2169</v>
      </c>
      <c r="C29" s="43">
        <f>Table2345345687911121514161718192021222324252627283456789101134567891011126789[[#This Row],[Profit]]/3</f>
        <v>1084.5</v>
      </c>
      <c r="D29" s="7">
        <f t="shared" si="0"/>
        <v>3253.5</v>
      </c>
      <c r="E29" s="7">
        <f t="shared" si="1"/>
        <v>7591.5</v>
      </c>
      <c r="F29" s="7">
        <f t="shared" si="2"/>
        <v>10845</v>
      </c>
      <c r="G29" s="7">
        <v>8395</v>
      </c>
      <c r="H29" s="7">
        <v>2450</v>
      </c>
      <c r="I29" s="7"/>
      <c r="J29" s="7"/>
      <c r="K29" s="7">
        <f>Table2345345687911121514161718192021222324252627283456789101134567891011126789[[#This Row],[Account Transfer]]-Table2345345687911121514161718192021222324252627283456789101134567891011126789[[#This Row],[Expense Online]]</f>
        <v>2450</v>
      </c>
      <c r="L29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5141.5</v>
      </c>
      <c r="M29" s="7">
        <f>Table2345345687911121514161718192021222324252627283456789101134567891011126789[[#This Row],[Cash]]-Table2345345687911121514161718192021222324252627283456789101134567891011126789[[#This Row],[Expense]]</f>
        <v>8395</v>
      </c>
      <c r="O29" s="10">
        <f t="shared" si="20"/>
        <v>45707</v>
      </c>
      <c r="P29" s="11">
        <f t="shared" si="26"/>
        <v>2622</v>
      </c>
      <c r="Q29" s="11">
        <f t="shared" si="27"/>
        <v>7866</v>
      </c>
      <c r="R29" s="11">
        <f t="shared" si="21"/>
        <v>18354</v>
      </c>
      <c r="S29" s="11">
        <f t="shared" si="25"/>
        <v>26220</v>
      </c>
      <c r="T29" s="11">
        <f t="shared" si="22"/>
        <v>900</v>
      </c>
      <c r="U29" s="11">
        <f t="shared" si="23"/>
        <v>25320</v>
      </c>
      <c r="V29" s="11">
        <f t="shared" si="24"/>
        <v>0</v>
      </c>
    </row>
    <row r="30" spans="1:22" x14ac:dyDescent="0.35">
      <c r="A30" s="6">
        <v>45716</v>
      </c>
      <c r="B30" s="7">
        <f>Table2345345687911121514161718192021222324252627283456789101134567891011126789[[#This Row],[Profit]]-Table2345345687911121514161718192021222324252627283456789101134567891011126789[[#This Row],[Mulbhag]]</f>
        <v>9134.2000000000007</v>
      </c>
      <c r="C30" s="28">
        <f>Table2345345687911121514161718192021222324252627283456789101134567891011126789[[#This Row],[Profit]]/3</f>
        <v>4567.0999999999995</v>
      </c>
      <c r="D30" s="7">
        <f t="shared" si="0"/>
        <v>13701.3</v>
      </c>
      <c r="E30" s="7">
        <f t="shared" si="1"/>
        <v>31969.7</v>
      </c>
      <c r="F30" s="7">
        <f t="shared" si="2"/>
        <v>45671</v>
      </c>
      <c r="G30" s="7">
        <v>27146</v>
      </c>
      <c r="H30" s="7">
        <v>18525</v>
      </c>
      <c r="I30" s="7"/>
      <c r="J30" s="7"/>
      <c r="K30" s="7">
        <f>Table2345345687911121514161718192021222324252627283456789101134567891011126789[[#This Row],[Account Transfer]]-Table2345345687911121514161718192021222324252627283456789101134567891011126789[[#This Row],[Expense Online]]</f>
        <v>18525</v>
      </c>
      <c r="L30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13444.7</v>
      </c>
      <c r="M30" s="7">
        <f>Table2345345687911121514161718192021222324252627283456789101134567891011126789[[#This Row],[Cash]]-Table2345345687911121514161718192021222324252627283456789101134567891011126789[[#This Row],[Expense]]</f>
        <v>27146</v>
      </c>
      <c r="O30" s="8">
        <f t="shared" si="20"/>
        <v>45708</v>
      </c>
      <c r="P30" s="9">
        <f t="shared" si="26"/>
        <v>779.09999999999991</v>
      </c>
      <c r="Q30" s="9">
        <f t="shared" si="27"/>
        <v>2337.2999999999997</v>
      </c>
      <c r="R30" s="9">
        <f t="shared" si="21"/>
        <v>5453.7000000000007</v>
      </c>
      <c r="S30" s="9">
        <f t="shared" si="25"/>
        <v>7791</v>
      </c>
      <c r="T30" s="9">
        <f t="shared" si="22"/>
        <v>1680</v>
      </c>
      <c r="U30" s="9">
        <f t="shared" si="23"/>
        <v>6111</v>
      </c>
      <c r="V30" s="9">
        <f t="shared" si="24"/>
        <v>0</v>
      </c>
    </row>
    <row r="31" spans="1:22" x14ac:dyDescent="0.35">
      <c r="A31" s="6">
        <v>45717</v>
      </c>
      <c r="B31" s="7">
        <f>Table2345345687911121514161718192021222324252627283456789101134567891011126789[[#This Row],[Profit]]-Table2345345687911121514161718192021222324252627283456789101134567891011126789[[#This Row],[Mulbhag]]</f>
        <v>0</v>
      </c>
      <c r="C31" s="43">
        <f>Table2345345687911121514161718192021222324252627283456789101134567891011126789[[#This Row],[Profit]]/3</f>
        <v>0</v>
      </c>
      <c r="D31" s="7">
        <f t="shared" si="0"/>
        <v>0</v>
      </c>
      <c r="E31" s="7">
        <f t="shared" si="1"/>
        <v>0</v>
      </c>
      <c r="F31" s="7">
        <f t="shared" si="2"/>
        <v>0</v>
      </c>
      <c r="G31" s="7"/>
      <c r="H31" s="7"/>
      <c r="I31" s="7"/>
      <c r="J31" s="7"/>
      <c r="K31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31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0</v>
      </c>
      <c r="M31" s="7">
        <f>Table2345345687911121514161718192021222324252627283456789101134567891011126789[[#This Row],[Cash]]-Table2345345687911121514161718192021222324252627283456789101134567891011126789[[#This Row],[Expense]]</f>
        <v>0</v>
      </c>
      <c r="O31" s="10">
        <f t="shared" si="20"/>
        <v>45709</v>
      </c>
      <c r="P31" s="11">
        <f t="shared" si="26"/>
        <v>1543.1000000000001</v>
      </c>
      <c r="Q31" s="11">
        <f t="shared" si="27"/>
        <v>4629.3</v>
      </c>
      <c r="R31" s="11">
        <f t="shared" si="21"/>
        <v>10801.7</v>
      </c>
      <c r="S31" s="11">
        <f t="shared" si="25"/>
        <v>15431</v>
      </c>
      <c r="T31" s="11">
        <f t="shared" si="22"/>
        <v>2681</v>
      </c>
      <c r="U31" s="11">
        <f t="shared" si="23"/>
        <v>12750</v>
      </c>
      <c r="V31" s="11">
        <f t="shared" si="24"/>
        <v>0</v>
      </c>
    </row>
    <row r="32" spans="1:22" x14ac:dyDescent="0.35">
      <c r="A32" s="6">
        <v>45718</v>
      </c>
      <c r="B32" s="7">
        <f>Table2345345687911121514161718192021222324252627283456789101134567891011126789[[#This Row],[Profit]]-Table2345345687911121514161718192021222324252627283456789101134567891011126789[[#This Row],[Mulbhag]]</f>
        <v>0</v>
      </c>
      <c r="C32" s="43">
        <f>Table2345345687911121514161718192021222324252627283456789101134567891011126789[[#This Row],[Profit]]/3</f>
        <v>0</v>
      </c>
      <c r="D32" s="7">
        <f t="shared" si="0"/>
        <v>0</v>
      </c>
      <c r="E32" s="7">
        <f t="shared" si="1"/>
        <v>0</v>
      </c>
      <c r="F32" s="7">
        <f t="shared" si="2"/>
        <v>0</v>
      </c>
      <c r="G32" s="7"/>
      <c r="H32" s="7"/>
      <c r="I32" s="7"/>
      <c r="J32" s="7"/>
      <c r="K32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32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0</v>
      </c>
      <c r="M32" s="7">
        <f>Table2345345687911121514161718192021222324252627283456789101134567891011126789[[#This Row],[Cash]]-Table2345345687911121514161718192021222324252627283456789101134567891011126789[[#This Row],[Expense]]</f>
        <v>0</v>
      </c>
      <c r="O32" s="12" t="s">
        <v>3</v>
      </c>
      <c r="P32" s="12">
        <f>SUM(P25:P31)</f>
        <v>11100.6</v>
      </c>
      <c r="Q32" s="11">
        <f t="shared" ref="Q32:V32" si="28">SUM(Q25:Q31)</f>
        <v>33301.800000000003</v>
      </c>
      <c r="R32" s="11">
        <f t="shared" si="28"/>
        <v>77704.2</v>
      </c>
      <c r="S32" s="11">
        <f t="shared" si="28"/>
        <v>111006</v>
      </c>
      <c r="T32" s="11">
        <f t="shared" si="28"/>
        <v>31161</v>
      </c>
      <c r="U32" s="11">
        <f t="shared" si="28"/>
        <v>79845</v>
      </c>
      <c r="V32" s="11">
        <f t="shared" si="28"/>
        <v>0</v>
      </c>
    </row>
    <row r="33" spans="1:22" x14ac:dyDescent="0.35">
      <c r="A33" s="6">
        <v>45719</v>
      </c>
      <c r="B33" s="7">
        <f>Table2345345687911121514161718192021222324252627283456789101134567891011126789[[#This Row],[Profit]]-Table2345345687911121514161718192021222324252627283456789101134567891011126789[[#This Row],[Mulbhag]]</f>
        <v>0</v>
      </c>
      <c r="C33" s="43">
        <f>Table2345345687911121514161718192021222324252627283456789101134567891011126789[[#This Row],[Profit]]/3</f>
        <v>0</v>
      </c>
      <c r="D33" s="7">
        <f t="shared" si="0"/>
        <v>0</v>
      </c>
      <c r="E33" s="7">
        <f t="shared" si="1"/>
        <v>0</v>
      </c>
      <c r="F33" s="7">
        <f t="shared" si="2"/>
        <v>0</v>
      </c>
      <c r="G33" s="7"/>
      <c r="H33" s="7"/>
      <c r="I33" s="7"/>
      <c r="J33" s="7"/>
      <c r="K33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33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0</v>
      </c>
      <c r="M33" s="7">
        <f>Table2345345687911121514161718192021222324252627283456789101134567891011126789[[#This Row],[Cash]]-Table2345345687911121514161718192021222324252627283456789101134567891011126789[[#This Row],[Expense]]</f>
        <v>0</v>
      </c>
      <c r="O33" s="12" t="s">
        <v>7</v>
      </c>
      <c r="P33" s="9"/>
      <c r="Q33" s="9">
        <f>Q32/3</f>
        <v>11100.6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SUBTOTAL(109,Table2345345687911121514161718192021222324252627283456789101134567891011126789[Actual Profit])</f>
        <v>110798.99999999999</v>
      </c>
      <c r="C34" s="16">
        <f>SUBTOTAL(109,Table2345345687911121514161718192021222324252627283456789101134567891011126789[Mulbhag])</f>
        <v>55399.499999999993</v>
      </c>
      <c r="D34" s="16">
        <f>SUBTOTAL(109,Table2345345687911121514161718192021222324252627283456789101134567891011126789[Profit])</f>
        <v>166198.5</v>
      </c>
      <c r="E34" s="16">
        <f>SUBTOTAL(109,Table2345345687911121514161718192021222324252627283456789101134567891011126789[Profit])</f>
        <v>166198.5</v>
      </c>
      <c r="F34" s="16">
        <f>SUM(F3:F33)</f>
        <v>553995</v>
      </c>
      <c r="G34" s="16">
        <f>SUBTOTAL(109,Table2345345687911121514161718192021222324252627283456789101134567891011126789[Profit])</f>
        <v>166198.5</v>
      </c>
      <c r="H34" s="16">
        <f>SUBTOTAL(109,Table2345345687911121514161718192021222324252627283456789101134567891011126789[Profit])</f>
        <v>166198.5</v>
      </c>
      <c r="I34" s="16">
        <f>SUM(I5:I33)</f>
        <v>19120</v>
      </c>
      <c r="J34" s="16">
        <f>SUBTOTAL(109,Table2345345687911121514161718192021222324252627283456789101134567891011126789[Expense Online])</f>
        <v>0</v>
      </c>
      <c r="K34" s="16">
        <f>SUBTOTAL(109,Table2345345687911121514161718192021222324252627283456789101134567891011126789[Account Balance])</f>
        <v>325788</v>
      </c>
      <c r="L34" s="16">
        <f>SUM(L5:L33)</f>
        <v>41874.000000000007</v>
      </c>
      <c r="M34" s="16">
        <f>SUBTOTAL(109,Table2345345687911121514161718192021222324252627283456789101134567891011126789[Actual Balance])</f>
        <v>205873</v>
      </c>
    </row>
    <row r="35" spans="1:22" x14ac:dyDescent="0.35">
      <c r="A35" s="17"/>
      <c r="B35" s="18"/>
      <c r="C35" s="49"/>
      <c r="D35" s="18"/>
      <c r="E35" s="18"/>
      <c r="F35" s="18"/>
      <c r="G35" s="18"/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49"/>
      <c r="D36" s="18"/>
      <c r="E36" s="18"/>
      <c r="F36" s="18"/>
      <c r="G36" s="18"/>
      <c r="H36" s="18"/>
      <c r="I36" s="18"/>
      <c r="J36" s="18"/>
      <c r="K36" s="18"/>
      <c r="L36" s="18"/>
      <c r="M36" s="18"/>
      <c r="O36" s="8">
        <f t="shared" ref="O36:O41" si="29">A24</f>
        <v>45710</v>
      </c>
      <c r="P36" s="11">
        <f>Q36/3</f>
        <v>5133.2</v>
      </c>
      <c r="Q36" s="11">
        <f>S36*0.3</f>
        <v>15399.599999999999</v>
      </c>
      <c r="R36" s="11">
        <f t="shared" ref="R36:R41" si="30">S36-Q36</f>
        <v>35932.400000000001</v>
      </c>
      <c r="S36" s="11">
        <f>T36+U36</f>
        <v>51332</v>
      </c>
      <c r="T36" s="11">
        <f t="shared" ref="T36:T41" si="31">VLOOKUP(O36,$A$1:$J$34,7,0)</f>
        <v>15950</v>
      </c>
      <c r="U36" s="11">
        <f t="shared" ref="U36:U41" si="32">VLOOKUP(O36,$A$1:$J$34,8,0)</f>
        <v>35382</v>
      </c>
      <c r="V36" s="11">
        <f t="shared" ref="V36:V41" si="33">VLOOKUP(O36,$A$1:$J$34,9,0)</f>
        <v>0</v>
      </c>
    </row>
    <row r="37" spans="1:22" ht="29" x14ac:dyDescent="0.35">
      <c r="A37" s="13" t="s">
        <v>0</v>
      </c>
      <c r="B37" s="41" t="s">
        <v>10</v>
      </c>
      <c r="C37" s="14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45711</v>
      </c>
      <c r="P37" s="9">
        <f>Q37/3</f>
        <v>1907</v>
      </c>
      <c r="Q37" s="9">
        <f>S37*0.3</f>
        <v>5721</v>
      </c>
      <c r="R37" s="9">
        <f t="shared" si="30"/>
        <v>13349</v>
      </c>
      <c r="S37" s="9">
        <f t="shared" ref="S37:S41" si="34">T37+U37</f>
        <v>19070</v>
      </c>
      <c r="T37" s="9">
        <f t="shared" si="31"/>
        <v>7750</v>
      </c>
      <c r="U37" s="9">
        <f t="shared" si="32"/>
        <v>11320</v>
      </c>
      <c r="V37" s="9">
        <f t="shared" si="33"/>
        <v>0</v>
      </c>
    </row>
    <row r="38" spans="1:22" x14ac:dyDescent="0.35">
      <c r="A38" s="20" t="str">
        <f>CONCATENATE(TEXT(O3,"DD-MMM-YYY")," to ",TEXT(O9,"DD-MMM-YYYY"))</f>
        <v>01-Feb-2025 to 07-Feb-2025</v>
      </c>
      <c r="B38" s="11">
        <f>D38-C38</f>
        <v>21447.800000000003</v>
      </c>
      <c r="C38" s="11">
        <f>D38/3</f>
        <v>10723.9</v>
      </c>
      <c r="D38" s="11">
        <f>Q10</f>
        <v>32171.7</v>
      </c>
      <c r="E38" s="11">
        <f t="shared" ref="E38:I38" si="35">R10</f>
        <v>75067.3</v>
      </c>
      <c r="F38" s="11">
        <f t="shared" si="35"/>
        <v>107239</v>
      </c>
      <c r="G38" s="11">
        <f t="shared" si="35"/>
        <v>35496</v>
      </c>
      <c r="H38" s="11">
        <f t="shared" si="35"/>
        <v>71743</v>
      </c>
      <c r="I38" s="11">
        <f t="shared" si="35"/>
        <v>11164</v>
      </c>
      <c r="J38" s="11"/>
      <c r="K38" s="11"/>
      <c r="L38" s="11"/>
      <c r="M38" s="11"/>
      <c r="O38" s="10">
        <f t="shared" si="29"/>
        <v>45712</v>
      </c>
      <c r="P38" s="11">
        <f t="shared" ref="P38:P41" si="36">Q38/3</f>
        <v>1034</v>
      </c>
      <c r="Q38" s="11">
        <f t="shared" ref="Q38:Q41" si="37">S38*0.3</f>
        <v>3102</v>
      </c>
      <c r="R38" s="11">
        <f t="shared" si="30"/>
        <v>7238</v>
      </c>
      <c r="S38" s="11">
        <f t="shared" si="34"/>
        <v>10340</v>
      </c>
      <c r="T38" s="11">
        <f t="shared" si="31"/>
        <v>2280</v>
      </c>
      <c r="U38" s="11">
        <f t="shared" si="32"/>
        <v>8060</v>
      </c>
      <c r="V38" s="11">
        <f t="shared" si="33"/>
        <v>0</v>
      </c>
    </row>
    <row r="39" spans="1:22" x14ac:dyDescent="0.35">
      <c r="A39" s="20" t="str">
        <f>CONCATENATE(TEXT(O14,"DD-MMM-YYY")," to ",TEXT(O20,"DD-MMM-YYYY"))</f>
        <v>08-Feb-2025 to 14-Feb-2025</v>
      </c>
      <c r="B39" s="9">
        <f t="shared" ref="B39:B42" si="38">D39-C39</f>
        <v>34003.399999999994</v>
      </c>
      <c r="C39" s="9">
        <f t="shared" ref="C39:C42" si="39">D39/3</f>
        <v>17001.7</v>
      </c>
      <c r="D39" s="9">
        <f>Q21</f>
        <v>51005.1</v>
      </c>
      <c r="E39" s="9">
        <f t="shared" ref="E39:I39" si="40">R21</f>
        <v>119011.9</v>
      </c>
      <c r="F39" s="9">
        <f t="shared" si="40"/>
        <v>170017</v>
      </c>
      <c r="G39" s="9">
        <f t="shared" si="40"/>
        <v>91620</v>
      </c>
      <c r="H39" s="9">
        <f t="shared" si="40"/>
        <v>78397</v>
      </c>
      <c r="I39" s="9">
        <f t="shared" si="40"/>
        <v>11170</v>
      </c>
      <c r="J39" s="9"/>
      <c r="K39" s="9"/>
      <c r="L39" s="9"/>
      <c r="M39" s="9"/>
      <c r="O39" s="8">
        <f t="shared" si="29"/>
        <v>45713</v>
      </c>
      <c r="P39" s="9">
        <f t="shared" si="36"/>
        <v>1285</v>
      </c>
      <c r="Q39" s="9">
        <f t="shared" si="37"/>
        <v>3855</v>
      </c>
      <c r="R39" s="9">
        <f t="shared" si="30"/>
        <v>8995</v>
      </c>
      <c r="S39" s="9">
        <f t="shared" si="34"/>
        <v>12850</v>
      </c>
      <c r="T39" s="9">
        <f t="shared" si="31"/>
        <v>2670</v>
      </c>
      <c r="U39" s="9">
        <f t="shared" si="32"/>
        <v>10180</v>
      </c>
      <c r="V39" s="9">
        <f t="shared" si="33"/>
        <v>0</v>
      </c>
    </row>
    <row r="40" spans="1:22" x14ac:dyDescent="0.35">
      <c r="A40" s="20" t="str">
        <f>CONCATENATE(TEXT(O25,"DD-MMM-YYY")," to ",TEXT(O31,"DD-MMM-YYYY"))</f>
        <v>15-Feb-2025 to 21-Feb-2025</v>
      </c>
      <c r="B40" s="11">
        <f t="shared" si="38"/>
        <v>22201.200000000004</v>
      </c>
      <c r="C40" s="11">
        <f t="shared" si="39"/>
        <v>11100.6</v>
      </c>
      <c r="D40" s="11">
        <f>Q32</f>
        <v>33301.800000000003</v>
      </c>
      <c r="E40" s="11">
        <f t="shared" ref="E40:I40" si="41">R32</f>
        <v>77704.2</v>
      </c>
      <c r="F40" s="11">
        <f t="shared" si="41"/>
        <v>111006</v>
      </c>
      <c r="G40" s="11">
        <f t="shared" si="41"/>
        <v>31161</v>
      </c>
      <c r="H40" s="11">
        <f t="shared" si="41"/>
        <v>79845</v>
      </c>
      <c r="I40" s="11">
        <f t="shared" si="41"/>
        <v>0</v>
      </c>
      <c r="J40" s="11"/>
      <c r="K40" s="11"/>
      <c r="L40" s="11"/>
      <c r="M40" s="11"/>
      <c r="O40" s="10">
        <f t="shared" si="29"/>
        <v>45714</v>
      </c>
      <c r="P40" s="11">
        <f t="shared" si="36"/>
        <v>1562.5</v>
      </c>
      <c r="Q40" s="11">
        <f t="shared" si="37"/>
        <v>4687.5</v>
      </c>
      <c r="R40" s="11">
        <f t="shared" si="30"/>
        <v>10937.5</v>
      </c>
      <c r="S40" s="11">
        <f t="shared" si="34"/>
        <v>15625</v>
      </c>
      <c r="T40" s="11">
        <f t="shared" si="31"/>
        <v>5739</v>
      </c>
      <c r="U40" s="11">
        <f t="shared" si="32"/>
        <v>9886</v>
      </c>
      <c r="V40" s="11">
        <f t="shared" si="33"/>
        <v>0</v>
      </c>
    </row>
    <row r="41" spans="1:22" x14ac:dyDescent="0.35">
      <c r="A41" s="20" t="str">
        <f>CONCATENATE(TEXT(O36,"DD-MMM-YYY")," to ",TEXT(O41,"DD-MMM-YYYY"))</f>
        <v>22-Feb-2025 to 27-Feb-2025</v>
      </c>
      <c r="B41" s="9">
        <f t="shared" si="38"/>
        <v>24012.400000000001</v>
      </c>
      <c r="C41" s="9">
        <f t="shared" si="39"/>
        <v>12006.199999999999</v>
      </c>
      <c r="D41" s="9">
        <f>Q42</f>
        <v>36018.6</v>
      </c>
      <c r="E41" s="9">
        <f t="shared" ref="E41:I41" si="42">R42</f>
        <v>84043.4</v>
      </c>
      <c r="F41" s="9">
        <f t="shared" si="42"/>
        <v>120062</v>
      </c>
      <c r="G41" s="9">
        <f t="shared" si="42"/>
        <v>42784</v>
      </c>
      <c r="H41" s="9">
        <f t="shared" si="42"/>
        <v>77278</v>
      </c>
      <c r="I41" s="9">
        <f t="shared" si="42"/>
        <v>0</v>
      </c>
      <c r="J41" s="9"/>
      <c r="K41" s="9"/>
      <c r="L41" s="9"/>
      <c r="M41" s="9"/>
      <c r="O41" s="10">
        <f t="shared" si="29"/>
        <v>45715</v>
      </c>
      <c r="P41" s="9">
        <f t="shared" si="36"/>
        <v>1084.5</v>
      </c>
      <c r="Q41" s="9">
        <f t="shared" si="37"/>
        <v>3253.5</v>
      </c>
      <c r="R41" s="9">
        <f t="shared" si="30"/>
        <v>7591.5</v>
      </c>
      <c r="S41" s="9">
        <f t="shared" si="34"/>
        <v>10845</v>
      </c>
      <c r="T41" s="9">
        <f t="shared" si="31"/>
        <v>8395</v>
      </c>
      <c r="U41" s="9">
        <f t="shared" si="32"/>
        <v>2450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01-Feb-2025 to 27-Feb-2025</v>
      </c>
      <c r="B42" s="9">
        <f t="shared" si="38"/>
        <v>101664.80000000002</v>
      </c>
      <c r="C42" s="9">
        <f t="shared" si="39"/>
        <v>50832.4</v>
      </c>
      <c r="D42" s="9">
        <f t="shared" ref="D42:I42" si="43">SUM(D38:D41)</f>
        <v>152497.20000000001</v>
      </c>
      <c r="E42" s="9">
        <f t="shared" si="43"/>
        <v>355826.80000000005</v>
      </c>
      <c r="F42" s="9">
        <f t="shared" si="43"/>
        <v>508324</v>
      </c>
      <c r="G42" s="9">
        <f t="shared" si="43"/>
        <v>201061</v>
      </c>
      <c r="H42" s="9">
        <f t="shared" si="43"/>
        <v>307263</v>
      </c>
      <c r="I42" s="9">
        <f t="shared" si="43"/>
        <v>22334</v>
      </c>
      <c r="J42" s="9"/>
      <c r="K42" s="9"/>
      <c r="L42" s="9"/>
      <c r="M42" s="9"/>
      <c r="O42" s="12" t="s">
        <v>3</v>
      </c>
      <c r="P42" s="12">
        <f t="shared" ref="P42:V42" si="44">SUM(P36:P41)</f>
        <v>12006.2</v>
      </c>
      <c r="Q42" s="11">
        <f t="shared" si="44"/>
        <v>36018.6</v>
      </c>
      <c r="R42" s="9">
        <f t="shared" si="44"/>
        <v>84043.4</v>
      </c>
      <c r="S42" s="9">
        <f t="shared" si="44"/>
        <v>120062</v>
      </c>
      <c r="T42" s="9">
        <f t="shared" si="44"/>
        <v>42784</v>
      </c>
      <c r="U42" s="9">
        <f t="shared" si="44"/>
        <v>77278</v>
      </c>
      <c r="V42" s="9">
        <f t="shared" si="44"/>
        <v>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12006.199999999999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45693</v>
      </c>
      <c r="P47" s="9"/>
      <c r="Q47" s="9">
        <f t="shared" ref="Q47:V47" si="45">SUM(D8:D33)</f>
        <v>144474.9</v>
      </c>
      <c r="R47" s="9">
        <f t="shared" si="45"/>
        <v>337108.10000000003</v>
      </c>
      <c r="S47" s="9">
        <f t="shared" si="45"/>
        <v>481583</v>
      </c>
      <c r="T47" s="9">
        <f t="shared" si="45"/>
        <v>202021</v>
      </c>
      <c r="U47" s="9">
        <f t="shared" si="45"/>
        <v>279562</v>
      </c>
      <c r="V47" s="9">
        <f t="shared" si="45"/>
        <v>12410</v>
      </c>
    </row>
    <row r="48" spans="1:22" x14ac:dyDescent="0.35">
      <c r="O48" s="12" t="s">
        <v>7</v>
      </c>
      <c r="P48" s="11"/>
      <c r="Q48" s="11">
        <f>Q47/3</f>
        <v>48158.299999999996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4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1">
      <dataBar>
        <cfvo type="min"/>
        <cfvo type="max"/>
        <color rgb="FF638EC6"/>
      </dataBar>
    </cfRule>
    <cfRule type="dataBar" priority="7">
      <dataBar>
        <cfvo type="min"/>
        <cfvo type="max"/>
        <color rgb="FF638EC6"/>
      </dataBar>
    </cfRule>
  </conditionalFormatting>
  <conditionalFormatting sqref="H37"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</conditionalFormatting>
  <conditionalFormatting sqref="I37:M37 A37 C37:G37">
    <cfRule type="dataBar" priority="9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150F-4E0C-4F79-BD3C-718E66BFA536}">
  <dimension ref="A1:V48"/>
  <sheetViews>
    <sheetView zoomScale="90" zoomScaleNormal="90" workbookViewId="0">
      <pane ySplit="1" topLeftCell="A13" activePane="bottomLeft" state="frozen"/>
      <selection pane="bottomLeft" activeCell="E1" sqref="E1"/>
    </sheetView>
  </sheetViews>
  <sheetFormatPr defaultColWidth="26" defaultRowHeight="14.5" x14ac:dyDescent="0.35"/>
  <cols>
    <col min="1" max="1" width="24.26953125" bestFit="1" customWidth="1"/>
    <col min="2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Table2345345687911121514161718192021222324252627283456789101134567891011126789[[#This Row],[Profit]]-Table2345345687911121514161718192021222324252627283456789101134567891011126789[[#This Row],[Mulbhag]]</f>
        <v>0</v>
      </c>
      <c r="C2" s="28">
        <f>Table234534568791112151416171819202122232425262728345678910113456789101112[[#This Row],[Profit]]/3</f>
        <v>4567.0999999999995</v>
      </c>
      <c r="D2" s="7">
        <f t="shared" ref="D2" si="0">F2*0.3</f>
        <v>13701.3</v>
      </c>
      <c r="E2" s="7">
        <f t="shared" ref="E2" si="1">F2-D2</f>
        <v>31969.7</v>
      </c>
      <c r="F2" s="7">
        <f t="shared" ref="F2" si="2">G2+H2</f>
        <v>45671</v>
      </c>
      <c r="G2" s="7">
        <v>27146</v>
      </c>
      <c r="H2" s="7">
        <v>18525</v>
      </c>
      <c r="I2" s="7"/>
      <c r="J2" s="7"/>
      <c r="K2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2" s="7">
        <f>Table2345345687911121514161718192021222324252627283456789101134567891011126789[[#This Row],[Cash]]-Table2345345687911121514161718192021222324252627283456789101134567891011126789[[#This Row],[Mulbhag]]-Table2345345687911121514161718192021222324252627283456789101134567891011126789[[#This Row],[Actual Profit]]-Table2345345687911121514161718192021222324252627283456789101134567891011126789[[#This Row],[Expense]]</f>
        <v>0</v>
      </c>
      <c r="M2" s="7">
        <f>Table2345345687911121514161718192021222324252627283456789101134567891011126789[[#This Row],[Cash]]-Table2345345687911121514161718192021222324252627283456789101134567891011126789[[#This Row],[Expense]]</f>
        <v>0</v>
      </c>
      <c r="O2" s="8" t="s">
        <v>8</v>
      </c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45717</v>
      </c>
      <c r="B3" s="7">
        <f>Table2345345687911121514161718192021222324252627283456789101134567891011126789[[#This Row],[Profit]]-Table2345345687911121514161718192021222324252627283456789101134567891011126789[[#This Row],[Mulbhag]]</f>
        <v>834</v>
      </c>
      <c r="C3" s="43">
        <f>Table234534568791112151416171819202122232425262728345678910113456789101112[[#This Row],[Profit]]/3</f>
        <v>650</v>
      </c>
      <c r="D3" s="7">
        <f t="shared" ref="D3:D18" si="3">F3*0.3</f>
        <v>1950</v>
      </c>
      <c r="E3" s="7">
        <f t="shared" ref="E3:E18" si="4">F3-D3</f>
        <v>4550</v>
      </c>
      <c r="F3" s="7">
        <f t="shared" ref="F3:F18" si="5">G3+H3</f>
        <v>6500</v>
      </c>
      <c r="G3" s="7">
        <v>2600</v>
      </c>
      <c r="H3" s="7">
        <v>3900</v>
      </c>
      <c r="I3" s="7">
        <f>IFERROR(VLOOKUP(Table234534568791112151416171819202122232425262728345678910113456789101112[[#This Row],[Date]],'March Expense'!H1:K114,3,0),0)</f>
        <v>2500</v>
      </c>
      <c r="J3" s="7">
        <f>IFERROR(VLOOKUP(Table234534568791112151416171819202122232425262728345678910113456789101112[[#This Row],[Date]],'March Expense'!H1:K114,4,0),0)</f>
        <v>451</v>
      </c>
      <c r="K3" s="7">
        <f>Table2345345687911121514161718192021222324252627283456789101134567891011126789[[#This Row],[Account Transfer]]-Table2345345687911121514161718192021222324252627283456789101134567891011126789[[#This Row],[Expense Online]]</f>
        <v>2200</v>
      </c>
      <c r="L3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-1384</v>
      </c>
      <c r="M3" s="7">
        <f>Table2345345687911121514161718192021222324252627283456789101134567891011126789[[#This Row],[Cash]]-Table2345345687911121514161718192021222324252627283456789101134567891011126789[[#This Row],[Expense]]</f>
        <v>910</v>
      </c>
      <c r="O3" s="10">
        <f t="shared" ref="O3:O9" si="6">A3</f>
        <v>45717</v>
      </c>
      <c r="P3" s="11">
        <f>Q3/3</f>
        <v>650</v>
      </c>
      <c r="Q3" s="11">
        <f>S3*0.3</f>
        <v>1950</v>
      </c>
      <c r="R3" s="11">
        <f t="shared" ref="R3:R9" si="7">S3-Q3</f>
        <v>4550</v>
      </c>
      <c r="S3" s="11">
        <f>T3+U3</f>
        <v>6500</v>
      </c>
      <c r="T3" s="11">
        <f t="shared" ref="T3:T9" si="8">VLOOKUP(O3,$A$1:$J$34,7,0)</f>
        <v>2600</v>
      </c>
      <c r="U3" s="11">
        <f t="shared" ref="U3:U9" si="9">VLOOKUP(O3,$A$1:$J$34,8,0)</f>
        <v>3900</v>
      </c>
      <c r="V3" s="11">
        <f t="shared" ref="V3:V9" si="10">VLOOKUP(O3,$A$1:$J$34,9,0)</f>
        <v>2500</v>
      </c>
    </row>
    <row r="4" spans="1:22" x14ac:dyDescent="0.35">
      <c r="A4" s="6">
        <v>45718</v>
      </c>
      <c r="B4" s="7">
        <f>Table2345345687911121514161718192021222324252627283456789101134567891011126789[[#This Row],[Profit]]-Table2345345687911121514161718192021222324252627283456789101134567891011126789[[#This Row],[Mulbhag]]</f>
        <v>3533</v>
      </c>
      <c r="C4" s="43">
        <f>Table234534568791112151416171819202122232425262728345678910113456789101112[[#This Row],[Profit]]/3</f>
        <v>978</v>
      </c>
      <c r="D4" s="7">
        <f t="shared" si="3"/>
        <v>2934</v>
      </c>
      <c r="E4" s="7">
        <f t="shared" si="4"/>
        <v>6846</v>
      </c>
      <c r="F4" s="7">
        <f t="shared" si="5"/>
        <v>9780</v>
      </c>
      <c r="G4" s="7">
        <v>3760</v>
      </c>
      <c r="H4" s="7">
        <v>6020</v>
      </c>
      <c r="I4" s="7">
        <f>IFERROR(VLOOKUP(Table234534568791112151416171819202122232425262728345678910113456789101112[[#This Row],[Date]],'March Expense'!H2:K115,3,0),0)</f>
        <v>885</v>
      </c>
      <c r="J4" s="7">
        <f>IFERROR(VLOOKUP(Table234534568791112151416171819202122232425262728345678910113456789101112[[#This Row],[Date]],'March Expense'!H2:K115,4,0),0)</f>
        <v>0</v>
      </c>
      <c r="K4" s="7">
        <f>Table2345345687911121514161718192021222324252627283456789101134567891011126789[[#This Row],[Account Transfer]]-Table2345345687911121514161718192021222324252627283456789101134567891011126789[[#This Row],[Expense Online]]</f>
        <v>12070</v>
      </c>
      <c r="L4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Row],[Expense]]+L3</f>
        <v>-3020</v>
      </c>
      <c r="M4" s="7">
        <f>Table2345345687911121514161718192021222324252627283456789101134567891011126789[[#This Row],[Cash]]-Table2345345687911121514161718192021222324252627283456789101134567891011126789[[#This Row],[Expense]]</f>
        <v>3441</v>
      </c>
      <c r="O4" s="8">
        <f t="shared" si="6"/>
        <v>45718</v>
      </c>
      <c r="P4" s="9">
        <f>Q4/3</f>
        <v>978</v>
      </c>
      <c r="Q4" s="9">
        <f>S4*0.3</f>
        <v>2934</v>
      </c>
      <c r="R4" s="9">
        <f t="shared" si="7"/>
        <v>6846</v>
      </c>
      <c r="S4" s="9">
        <f t="shared" ref="S4:S9" si="11">T4+U4</f>
        <v>9780</v>
      </c>
      <c r="T4" s="9">
        <f t="shared" si="8"/>
        <v>3760</v>
      </c>
      <c r="U4" s="9">
        <f t="shared" si="9"/>
        <v>6020</v>
      </c>
      <c r="V4" s="9">
        <f t="shared" si="10"/>
        <v>885</v>
      </c>
    </row>
    <row r="5" spans="1:22" x14ac:dyDescent="0.35">
      <c r="A5" s="6">
        <v>45719</v>
      </c>
      <c r="B5" s="7">
        <f>Table2345345687911121514161718192021222324252627283456789101134567891011126789[[#This Row],[Profit]]-Table2345345687911121514161718192021222324252627283456789101134567891011126789[[#This Row],[Mulbhag]]</f>
        <v>971</v>
      </c>
      <c r="C5" s="43">
        <f>Table234534568791112151416171819202122232425262728345678910113456789101112[[#This Row],[Profit]]/3</f>
        <v>4955.5</v>
      </c>
      <c r="D5" s="7">
        <f t="shared" si="3"/>
        <v>14866.5</v>
      </c>
      <c r="E5" s="7">
        <f t="shared" si="4"/>
        <v>34688.5</v>
      </c>
      <c r="F5" s="7">
        <f t="shared" si="5"/>
        <v>49555</v>
      </c>
      <c r="G5" s="7">
        <v>7100</v>
      </c>
      <c r="H5" s="7">
        <v>42455</v>
      </c>
      <c r="I5" s="7">
        <f>IFERROR(VLOOKUP(Table234534568791112151416171819202122232425262728345678910113456789101112[[#This Row],[Date]],'March Expense'!H3:K116,3,0),0)</f>
        <v>2600</v>
      </c>
      <c r="J5" s="7">
        <f>IFERROR(VLOOKUP(Table234534568791112151416171819202122232425262728345678910113456789101112[[#This Row],[Date]],'March Expense'!H3:K116,4,0),0)</f>
        <v>0</v>
      </c>
      <c r="K5" s="7">
        <f>Table2345345687911121514161718192021222324252627283456789101134567891011126789[[#This Row],[Account Transfer]]-Table2345345687911121514161718192021222324252627283456789101134567891011126789[[#This Row],[Expense Online]]</f>
        <v>2390</v>
      </c>
      <c r="L5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-1426.5</v>
      </c>
      <c r="M5" s="7">
        <f>Table2345345687911121514161718192021222324252627283456789101134567891011126789[[#This Row],[Cash]]-Table2345345687911121514161718192021222324252627283456789101134567891011126789[[#This Row],[Expense]]</f>
        <v>2285</v>
      </c>
      <c r="O5" s="10">
        <f t="shared" si="6"/>
        <v>45719</v>
      </c>
      <c r="P5" s="11">
        <f t="shared" ref="P5:P9" si="12">Q5/3</f>
        <v>4955.5</v>
      </c>
      <c r="Q5" s="11">
        <f t="shared" ref="Q5:Q9" si="13">S5*0.3</f>
        <v>14866.5</v>
      </c>
      <c r="R5" s="11">
        <f t="shared" si="7"/>
        <v>34688.5</v>
      </c>
      <c r="S5" s="11">
        <f t="shared" si="11"/>
        <v>49555</v>
      </c>
      <c r="T5" s="11">
        <f t="shared" si="8"/>
        <v>7100</v>
      </c>
      <c r="U5" s="11">
        <f t="shared" si="9"/>
        <v>42455</v>
      </c>
      <c r="V5" s="11">
        <f t="shared" si="10"/>
        <v>2600</v>
      </c>
    </row>
    <row r="6" spans="1:22" x14ac:dyDescent="0.35">
      <c r="A6" s="6">
        <v>45720</v>
      </c>
      <c r="B6" s="7">
        <f>Table2345345687911121514161718192021222324252627283456789101134567891011126789[[#This Row],[Profit]]-Table2345345687911121514161718192021222324252627283456789101134567891011126789[[#This Row],[Mulbhag]]</f>
        <v>2205</v>
      </c>
      <c r="C6" s="43">
        <f>Table234534568791112151416171819202122232425262728345678910113456789101112[[#This Row],[Profit]]/3</f>
        <v>2838</v>
      </c>
      <c r="D6" s="7">
        <f t="shared" si="3"/>
        <v>8514</v>
      </c>
      <c r="E6" s="7">
        <f t="shared" si="4"/>
        <v>19866</v>
      </c>
      <c r="F6" s="7">
        <f t="shared" si="5"/>
        <v>28380</v>
      </c>
      <c r="G6" s="7">
        <v>2270</v>
      </c>
      <c r="H6" s="7">
        <v>26110</v>
      </c>
      <c r="I6" s="7">
        <f>IFERROR(VLOOKUP(Table234534568791112151416171819202122232425262728345678910113456789101112[[#This Row],[Date]],'March Expense'!H4:K117,3,0),0)</f>
        <v>100</v>
      </c>
      <c r="J6" s="7">
        <f>IFERROR(VLOOKUP(Table234534568791112151416171819202122232425262728345678910113456789101112[[#This Row],[Date]],'March Expense'!H4:K117,4,0),0)</f>
        <v>1270</v>
      </c>
      <c r="K6" s="7">
        <f>Table2345345687911121514161718192021222324252627283456789101134567891011126789[[#This Row],[Account Transfer]]-Table2345345687911121514161718192021222324252627283456789101134567891011126789[[#This Row],[Expense Online]]</f>
        <v>7225</v>
      </c>
      <c r="L6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-2873</v>
      </c>
      <c r="M6" s="7">
        <f>Table2345345687911121514161718192021222324252627283456789101134567891011126789[[#This Row],[Cash]]-Table2345345687911121514161718192021222324252627283456789101134567891011126789[[#This Row],[Expense]]</f>
        <v>800</v>
      </c>
      <c r="O6" s="8">
        <f t="shared" si="6"/>
        <v>45720</v>
      </c>
      <c r="P6" s="9">
        <f t="shared" si="12"/>
        <v>2838</v>
      </c>
      <c r="Q6" s="9">
        <f t="shared" si="13"/>
        <v>8514</v>
      </c>
      <c r="R6" s="9">
        <f t="shared" si="7"/>
        <v>19866</v>
      </c>
      <c r="S6" s="9">
        <f t="shared" si="11"/>
        <v>28380</v>
      </c>
      <c r="T6" s="9">
        <f t="shared" si="8"/>
        <v>2270</v>
      </c>
      <c r="U6" s="9">
        <f t="shared" si="9"/>
        <v>26110</v>
      </c>
      <c r="V6" s="9">
        <f t="shared" si="10"/>
        <v>100</v>
      </c>
    </row>
    <row r="7" spans="1:22" x14ac:dyDescent="0.35">
      <c r="A7" s="6">
        <v>45721</v>
      </c>
      <c r="B7" s="7">
        <f>Table2345345687911121514161718192021222324252627283456789101134567891011126789[[#This Row],[Profit]]-Table2345345687911121514161718192021222324252627283456789101134567891011126789[[#This Row],[Mulbhag]]</f>
        <v>6939.4</v>
      </c>
      <c r="C7" s="43">
        <f>Table234534568791112151416171819202122232425262728345678910113456789101112[[#This Row],[Profit]]/3</f>
        <v>2850.5</v>
      </c>
      <c r="D7" s="7">
        <f t="shared" si="3"/>
        <v>8551.5</v>
      </c>
      <c r="E7" s="7">
        <f t="shared" si="4"/>
        <v>19953.5</v>
      </c>
      <c r="F7" s="7">
        <f t="shared" si="5"/>
        <v>28505</v>
      </c>
      <c r="G7" s="7">
        <v>3310</v>
      </c>
      <c r="H7" s="7">
        <v>25195</v>
      </c>
      <c r="I7" s="7">
        <f>IFERROR(VLOOKUP(Table234534568791112151416171819202122232425262728345678910113456789101112[[#This Row],[Date]],'March Expense'!H5:K118,3,0),0)</f>
        <v>0</v>
      </c>
      <c r="J7" s="7">
        <f>IFERROR(VLOOKUP(Table234534568791112151416171819202122232425262728345678910113456789101112[[#This Row],[Date]],'March Expense'!H5:K118,4,0),0)</f>
        <v>0</v>
      </c>
      <c r="K7" s="7">
        <f>Table2345345687911121514161718192021222324252627283456789101134567891011126789[[#This Row],[Account Transfer]]-Table2345345687911121514161718192021222324252627283456789101134567891011126789[[#This Row],[Expense Online]]</f>
        <v>22341</v>
      </c>
      <c r="L7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-6479.9</v>
      </c>
      <c r="M7" s="7">
        <f>Table2345345687911121514161718192021222324252627283456789101134567891011126789[[#This Row],[Cash]]-Table2345345687911121514161718192021222324252627283456789101134567891011126789[[#This Row],[Expense]]</f>
        <v>8826</v>
      </c>
      <c r="O7" s="10">
        <f t="shared" si="6"/>
        <v>45721</v>
      </c>
      <c r="P7" s="11">
        <f t="shared" si="12"/>
        <v>2850.5</v>
      </c>
      <c r="Q7" s="11">
        <f t="shared" si="13"/>
        <v>8551.5</v>
      </c>
      <c r="R7" s="11">
        <f t="shared" si="7"/>
        <v>19953.5</v>
      </c>
      <c r="S7" s="11">
        <f t="shared" si="11"/>
        <v>28505</v>
      </c>
      <c r="T7" s="11">
        <f t="shared" si="8"/>
        <v>3310</v>
      </c>
      <c r="U7" s="11">
        <f t="shared" si="9"/>
        <v>25195</v>
      </c>
      <c r="V7" s="11">
        <f t="shared" si="10"/>
        <v>0</v>
      </c>
    </row>
    <row r="8" spans="1:22" x14ac:dyDescent="0.35">
      <c r="A8" s="6">
        <v>45722</v>
      </c>
      <c r="B8" s="7">
        <f>Table2345345687911121514161718192021222324252627283456789101134567891011126789[[#This Row],[Profit]]-Table2345345687911121514161718192021222324252627283456789101134567891011126789[[#This Row],[Mulbhag]]</f>
        <v>2704.5999999999995</v>
      </c>
      <c r="C8" s="43">
        <f>Table234534568791112151416171819202122232425262728345678910113456789101112[[#This Row],[Profit]]/3</f>
        <v>2028</v>
      </c>
      <c r="D8" s="7">
        <f t="shared" si="3"/>
        <v>6084</v>
      </c>
      <c r="E8" s="7">
        <f t="shared" si="4"/>
        <v>14196</v>
      </c>
      <c r="F8" s="7">
        <f t="shared" si="5"/>
        <v>20280</v>
      </c>
      <c r="G8" s="7">
        <v>6080</v>
      </c>
      <c r="H8" s="7">
        <v>14200</v>
      </c>
      <c r="I8" s="7">
        <f>IFERROR(VLOOKUP(Table234534568791112151416171819202122232425262728345678910113456789101112[[#This Row],[Date]],'March Expense'!H6:K119,3,0),0)</f>
        <v>20300</v>
      </c>
      <c r="J8" s="7">
        <f>IFERROR(VLOOKUP(Table234534568791112151416171819202122232425262728345678910113456789101112[[#This Row],[Date]],'March Expense'!H6:K119,4,0),0)</f>
        <v>0</v>
      </c>
      <c r="K8" s="7">
        <f>Table2345345687911121514161718192021222324252627283456789101134567891011126789[[#This Row],[Account Transfer]]-Table2345345687911121514161718192021222324252627283456789101134567891011126789[[#This Row],[Expense Online]]</f>
        <v>8503</v>
      </c>
      <c r="L8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-18952.599999999999</v>
      </c>
      <c r="M8" s="7">
        <f>Table2345345687911121514161718192021222324252627283456789101134567891011126789[[#This Row],[Cash]]-Table2345345687911121514161718192021222324252627283456789101134567891011126789[[#This Row],[Expense]]</f>
        <v>3930</v>
      </c>
      <c r="O8" s="8">
        <f t="shared" si="6"/>
        <v>45722</v>
      </c>
      <c r="P8" s="9">
        <f t="shared" si="12"/>
        <v>2028</v>
      </c>
      <c r="Q8" s="9">
        <f t="shared" si="13"/>
        <v>6084</v>
      </c>
      <c r="R8" s="9">
        <f t="shared" si="7"/>
        <v>14196</v>
      </c>
      <c r="S8" s="9">
        <f t="shared" si="11"/>
        <v>20280</v>
      </c>
      <c r="T8" s="9">
        <f t="shared" si="8"/>
        <v>6080</v>
      </c>
      <c r="U8" s="9">
        <f t="shared" si="9"/>
        <v>14200</v>
      </c>
      <c r="V8" s="9">
        <f t="shared" si="10"/>
        <v>20300</v>
      </c>
    </row>
    <row r="9" spans="1:22" x14ac:dyDescent="0.35">
      <c r="A9" s="6">
        <v>45723</v>
      </c>
      <c r="B9" s="7">
        <f>Table2345345687911121514161718192021222324252627283456789101134567891011126789[[#This Row],[Profit]]-Table2345345687911121514161718192021222324252627283456789101134567891011126789[[#This Row],[Mulbhag]]</f>
        <v>4260.7999999999993</v>
      </c>
      <c r="C9" s="43">
        <f>Table234534568791112151416171819202122232425262728345678910113456789101112[[#This Row],[Profit]]/3</f>
        <v>4295</v>
      </c>
      <c r="D9" s="7">
        <f t="shared" si="3"/>
        <v>12885</v>
      </c>
      <c r="E9" s="7">
        <f t="shared" si="4"/>
        <v>30065</v>
      </c>
      <c r="F9" s="7">
        <f t="shared" si="5"/>
        <v>42950</v>
      </c>
      <c r="G9" s="7">
        <v>23450</v>
      </c>
      <c r="H9" s="7">
        <v>19500</v>
      </c>
      <c r="I9" s="7">
        <f>IFERROR(VLOOKUP(Table234534568791112151416171819202122232425262728345678910113456789101112[[#This Row],[Date]],'March Expense'!H7:K120,3,0),0)</f>
        <v>700</v>
      </c>
      <c r="J9" s="7">
        <f>IFERROR(VLOOKUP(Table234534568791112151416171819202122232425262728345678910113456789101112[[#This Row],[Date]],'March Expense'!H7:K120,4,0),0)</f>
        <v>300</v>
      </c>
      <c r="K9" s="7">
        <f>Table2345345687911121514161718192021222324252627283456789101134567891011126789[[#This Row],[Account Transfer]]-Table2345345687911121514161718192021222324252627283456789101134567891011126789[[#This Row],[Expense Online]]</f>
        <v>17014</v>
      </c>
      <c r="L9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14194.2</v>
      </c>
      <c r="M9" s="7">
        <f>Table2345345687911121514161718192021222324252627283456789101134567891011126789[[#This Row],[Cash]]-Table2345345687911121514161718192021222324252627283456789101134567891011126789[[#This Row],[Expense]]</f>
        <v>4140</v>
      </c>
      <c r="O9" s="10">
        <f t="shared" si="6"/>
        <v>45723</v>
      </c>
      <c r="P9" s="11">
        <f t="shared" si="12"/>
        <v>4295</v>
      </c>
      <c r="Q9" s="11">
        <f t="shared" si="13"/>
        <v>12885</v>
      </c>
      <c r="R9" s="11">
        <f t="shared" si="7"/>
        <v>30065</v>
      </c>
      <c r="S9" s="11">
        <f t="shared" si="11"/>
        <v>42950</v>
      </c>
      <c r="T9" s="11">
        <f t="shared" si="8"/>
        <v>23450</v>
      </c>
      <c r="U9" s="11">
        <f t="shared" si="9"/>
        <v>19500</v>
      </c>
      <c r="V9" s="11">
        <f t="shared" si="10"/>
        <v>700</v>
      </c>
    </row>
    <row r="10" spans="1:22" x14ac:dyDescent="0.35">
      <c r="A10" s="6">
        <v>45724</v>
      </c>
      <c r="B10" s="7">
        <f>Table2345345687911121514161718192021222324252627283456789101134567891011126789[[#This Row],[Profit]]-Table2345345687911121514161718192021222324252627283456789101134567891011126789[[#This Row],[Mulbhag]]</f>
        <v>2614</v>
      </c>
      <c r="C10" s="43">
        <f>Table234534568791112151416171819202122232425262728345678910113456789101112[[#This Row],[Profit]]/3</f>
        <v>1233</v>
      </c>
      <c r="D10" s="7">
        <f t="shared" si="3"/>
        <v>3699</v>
      </c>
      <c r="E10" s="7">
        <f t="shared" si="4"/>
        <v>8631</v>
      </c>
      <c r="F10" s="7">
        <f t="shared" si="5"/>
        <v>12330</v>
      </c>
      <c r="G10" s="7">
        <v>3580</v>
      </c>
      <c r="H10" s="7">
        <v>8750</v>
      </c>
      <c r="I10" s="7">
        <f>IFERROR(VLOOKUP(Table234534568791112151416171819202122232425262728345678910113456789101112[[#This Row],[Date]],'March Expense'!H8:K121,3,0),0)</f>
        <v>200</v>
      </c>
      <c r="J10" s="7">
        <f>IFERROR(VLOOKUP(Table234534568791112151416171819202122232425262728345678910113456789101112[[#This Row],[Date]],'March Expense'!H8:K121,4,0),0)</f>
        <v>0</v>
      </c>
      <c r="K10" s="7">
        <f>Table2345345687911121514161718192021222324252627283456789101134567891011126789[[#This Row],[Account Transfer]]-Table2345345687911121514161718192021222324252627283456789101134567891011126789[[#This Row],[Expense Online]]</f>
        <v>4780</v>
      </c>
      <c r="L10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-467</v>
      </c>
      <c r="M10" s="7">
        <f>Table2345345687911121514161718192021222324252627283456789101134567891011126789[[#This Row],[Cash]]-Table2345345687911121514161718192021222324252627283456789101134567891011126789[[#This Row],[Expense]]</f>
        <v>7700</v>
      </c>
      <c r="O10" s="12" t="s">
        <v>3</v>
      </c>
      <c r="P10" s="12">
        <f>SUM(P3:P9)</f>
        <v>18595</v>
      </c>
      <c r="Q10" s="12">
        <f>SUM(Q3:Q9)</f>
        <v>55785</v>
      </c>
      <c r="R10" s="12">
        <f>SUM(R2:R9)</f>
        <v>130165</v>
      </c>
      <c r="S10" s="12">
        <f>SUM(S2:S9)</f>
        <v>185950</v>
      </c>
      <c r="T10" s="12">
        <f>SUM(T2:T9)</f>
        <v>48570</v>
      </c>
      <c r="U10" s="12">
        <f>SUM(U2:U9)</f>
        <v>137380</v>
      </c>
      <c r="V10" s="12">
        <f>SUM(V2:V9)</f>
        <v>27085</v>
      </c>
    </row>
    <row r="11" spans="1:22" x14ac:dyDescent="0.35">
      <c r="A11" s="6">
        <v>45725</v>
      </c>
      <c r="B11" s="7">
        <f>Table2345345687911121514161718192021222324252627283456789101134567891011126789[[#This Row],[Profit]]-Table2345345687911121514161718192021222324252627283456789101134567891011126789[[#This Row],[Mulbhag]]</f>
        <v>4944</v>
      </c>
      <c r="C11" s="43">
        <f>Table234534568791112151416171819202122232425262728345678910113456789101112[[#This Row],[Profit]]/3</f>
        <v>1573.6000000000001</v>
      </c>
      <c r="D11" s="7">
        <f t="shared" si="3"/>
        <v>4720.8</v>
      </c>
      <c r="E11" s="7">
        <f t="shared" si="4"/>
        <v>11015.2</v>
      </c>
      <c r="F11" s="7">
        <f t="shared" si="5"/>
        <v>15736</v>
      </c>
      <c r="G11" s="7">
        <v>4350</v>
      </c>
      <c r="H11" s="7">
        <v>11386</v>
      </c>
      <c r="I11" s="7">
        <f>IFERROR(VLOOKUP(Table234534568791112151416171819202122232425262728345678910113456789101112[[#This Row],[Date]],'March Expense'!H9:K122,3,0),0)</f>
        <v>200</v>
      </c>
      <c r="J11" s="7">
        <f>IFERROR(VLOOKUP(Table234534568791112151416171819202122232425262728345678910113456789101112[[#This Row],[Date]],'March Expense'!H9:K122,4,0),0)</f>
        <v>880</v>
      </c>
      <c r="K11" s="7">
        <f>Table2345345687911121514161718192021222324252627283456789101134567891011126789[[#This Row],[Account Transfer]]-Table2345345687911121514161718192021222324252627283456789101134567891011126789[[#This Row],[Expense Online]]</f>
        <v>10200</v>
      </c>
      <c r="L11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-2367.6000000000004</v>
      </c>
      <c r="M11" s="7">
        <f>Table2345345687911121514161718192021222324252627283456789101134567891011126789[[#This Row],[Cash]]-Table2345345687911121514161718192021222324252627283456789101134567891011126789[[#This Row],[Expense]]</f>
        <v>7940</v>
      </c>
      <c r="O11" s="12" t="s">
        <v>7</v>
      </c>
      <c r="P11" s="12"/>
      <c r="Q11" s="12">
        <f>Q10/3</f>
        <v>18595</v>
      </c>
      <c r="R11" s="12"/>
      <c r="S11" s="12"/>
      <c r="T11" s="11"/>
      <c r="U11" s="11"/>
      <c r="V11" s="11"/>
    </row>
    <row r="12" spans="1:22" x14ac:dyDescent="0.35">
      <c r="A12" s="6">
        <v>45726</v>
      </c>
      <c r="B12" s="7">
        <f>Table2345345687911121514161718192021222324252627283456789101134567891011126789[[#This Row],[Profit]]-Table2345345687911121514161718192021222324252627283456789101134567891011126789[[#This Row],[Mulbhag]]</f>
        <v>1982</v>
      </c>
      <c r="C12" s="43">
        <f>Table234534568791112151416171819202122232425262728345678910113456789101112[[#This Row],[Profit]]/3</f>
        <v>1997</v>
      </c>
      <c r="D12" s="7">
        <f t="shared" si="3"/>
        <v>5991</v>
      </c>
      <c r="E12" s="7">
        <f t="shared" si="4"/>
        <v>13979</v>
      </c>
      <c r="F12" s="7">
        <f t="shared" si="5"/>
        <v>19970</v>
      </c>
      <c r="G12" s="7">
        <v>4620</v>
      </c>
      <c r="H12" s="7">
        <v>15350</v>
      </c>
      <c r="I12" s="7">
        <f>IFERROR(VLOOKUP(Table234534568791112151416171819202122232425262728345678910113456789101112[[#This Row],[Date]],'March Expense'!H10:K123,3,0),0)</f>
        <v>0</v>
      </c>
      <c r="J12" s="7">
        <f>IFERROR(VLOOKUP(Table234534568791112151416171819202122232425262728345678910113456789101112[[#This Row],[Date]],'March Expense'!H10:K123,4,0),0)</f>
        <v>10000</v>
      </c>
      <c r="K12" s="7">
        <f>Table2345345687911121514161718192021222324252627283456789101134567891011126789[[#This Row],[Account Transfer]]-Table2345345687911121514161718192021222324252627283456789101134567891011126789[[#This Row],[Expense Online]]</f>
        <v>3630</v>
      </c>
      <c r="L12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641</v>
      </c>
      <c r="M12" s="7">
        <f>Table2345345687911121514161718192021222324252627283456789101134567891011126789[[#This Row],[Cash]]-Table2345345687911121514161718192021222324252627283456789101134567891011126789[[#This Row],[Expense]]</f>
        <v>2280</v>
      </c>
    </row>
    <row r="13" spans="1:22" x14ac:dyDescent="0.35">
      <c r="A13" s="6">
        <v>45727</v>
      </c>
      <c r="B13" s="7">
        <f>Table2345345687911121514161718192021222324252627283456789101134567891011126789[[#This Row],[Profit]]-Table2345345687911121514161718192021222324252627283456789101134567891011126789[[#This Row],[Mulbhag]]</f>
        <v>13197</v>
      </c>
      <c r="C13" s="43">
        <f>Table234534568791112151416171819202122232425262728345678910113456789101112[[#This Row],[Profit]]/3</f>
        <v>4569.8</v>
      </c>
      <c r="D13" s="7">
        <f t="shared" si="3"/>
        <v>13709.4</v>
      </c>
      <c r="E13" s="7">
        <f t="shared" si="4"/>
        <v>31988.6</v>
      </c>
      <c r="F13" s="7">
        <f t="shared" si="5"/>
        <v>45698</v>
      </c>
      <c r="G13" s="7">
        <v>10450</v>
      </c>
      <c r="H13" s="7">
        <v>35248</v>
      </c>
      <c r="I13" s="7">
        <f>IFERROR(VLOOKUP(Table234534568791112151416171819202122232425262728345678910113456789101112[[#This Row],[Date]],'March Expense'!H11:K124,3,0),0)</f>
        <v>400</v>
      </c>
      <c r="J13" s="7">
        <f>IFERROR(VLOOKUP(Table234534568791112151416171819202122232425262728345678910113456789101112[[#This Row],[Date]],'March Expense'!H11:K124,4,0),0)</f>
        <v>300</v>
      </c>
      <c r="K13" s="7">
        <f>Table2345345687911121514161718192021222324252627283456789101134567891011126789[[#This Row],[Account Transfer]]-Table2345345687911121514161718192021222324252627283456789101134567891011126789[[#This Row],[Expense Online]]</f>
        <v>11300</v>
      </c>
      <c r="L13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-7716.8</v>
      </c>
      <c r="M13" s="7">
        <f>Table2345345687911121514161718192021222324252627283456789101134567891011126789[[#This Row],[Cash]]-Table2345345687911121514161718192021222324252627283456789101134567891011126789[[#This Row],[Expense]]</f>
        <v>54685</v>
      </c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45728</v>
      </c>
      <c r="B14" s="7">
        <f>Table2345345687911121514161718192021222324252627283456789101134567891011126789[[#This Row],[Profit]]-Table2345345687911121514161718192021222324252627283456789101134567891011126789[[#This Row],[Mulbhag]]</f>
        <v>1813</v>
      </c>
      <c r="C14" s="43">
        <f>Table234534568791112151416171819202122232425262728345678910113456789101112[[#This Row],[Profit]]/3</f>
        <v>976.5</v>
      </c>
      <c r="D14" s="7">
        <f t="shared" si="3"/>
        <v>2929.5</v>
      </c>
      <c r="E14" s="7">
        <f t="shared" si="4"/>
        <v>6835.5</v>
      </c>
      <c r="F14" s="7">
        <f t="shared" si="5"/>
        <v>9765</v>
      </c>
      <c r="G14" s="7">
        <v>5140</v>
      </c>
      <c r="H14" s="7">
        <v>4625</v>
      </c>
      <c r="I14" s="7">
        <f>IFERROR(VLOOKUP(Table234534568791112151416171819202122232425262728345678910113456789101112[[#This Row],[Date]],'March Expense'!H12:K125,3,0),0)</f>
        <v>300</v>
      </c>
      <c r="J14" s="7">
        <f>IFERROR(VLOOKUP(Table234534568791112151416171819202122232425262728345678910113456789101112[[#This Row],[Date]],'March Expense'!H12:K125,4,0),0)</f>
        <v>0</v>
      </c>
      <c r="K14" s="7">
        <f>Table2345345687911121514161718192021222324252627283456789101134567891011126789[[#This Row],[Account Transfer]]-Table2345345687911121514161718192021222324252627283456789101134567891011126789[[#This Row],[Expense Online]]</f>
        <v>8480</v>
      </c>
      <c r="L14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2050.5</v>
      </c>
      <c r="M14" s="7">
        <f>Table2345345687911121514161718192021222324252627283456789101134567891011126789[[#This Row],[Cash]]-Table2345345687911121514161718192021222324252627283456789101134567891011126789[[#This Row],[Expense]]</f>
        <v>585</v>
      </c>
      <c r="O14" s="10">
        <f t="shared" ref="O14:O20" si="14">A10</f>
        <v>45724</v>
      </c>
      <c r="P14" s="11">
        <f>Q14/3</f>
        <v>1233</v>
      </c>
      <c r="Q14" s="11">
        <f>S14*0.3</f>
        <v>3699</v>
      </c>
      <c r="R14" s="11">
        <f t="shared" ref="R14:R20" si="15">S14-Q14</f>
        <v>8631</v>
      </c>
      <c r="S14" s="11">
        <f>T14+U14</f>
        <v>12330</v>
      </c>
      <c r="T14" s="11">
        <f t="shared" ref="T14:T20" si="16">VLOOKUP(O14,$A$1:$J$34,7,0)</f>
        <v>3580</v>
      </c>
      <c r="U14" s="11">
        <f t="shared" ref="U14:U20" si="17">VLOOKUP(O14,$A$1:$J$34,8,0)</f>
        <v>8750</v>
      </c>
      <c r="V14" s="11">
        <f t="shared" ref="V14:V20" si="18">VLOOKUP(O14,$A$1:$J$34,9,0)</f>
        <v>200</v>
      </c>
    </row>
    <row r="15" spans="1:22" x14ac:dyDescent="0.35">
      <c r="A15" s="6">
        <v>45729</v>
      </c>
      <c r="B15" s="7">
        <f>Table2345345687911121514161718192021222324252627283456789101134567891011126789[[#This Row],[Profit]]-Table2345345687911121514161718192021222324252627283456789101134567891011126789[[#This Row],[Mulbhag]]</f>
        <v>5626</v>
      </c>
      <c r="C15" s="43">
        <f>Table234534568791112151416171819202122232425262728345678910113456789101112[[#This Row],[Profit]]/3</f>
        <v>798</v>
      </c>
      <c r="D15" s="7">
        <f t="shared" si="3"/>
        <v>2394</v>
      </c>
      <c r="E15" s="7">
        <f t="shared" si="4"/>
        <v>5586</v>
      </c>
      <c r="F15" s="7">
        <f t="shared" si="5"/>
        <v>7980</v>
      </c>
      <c r="G15" s="7">
        <v>780</v>
      </c>
      <c r="H15" s="7">
        <v>7200</v>
      </c>
      <c r="I15" s="7">
        <f>IFERROR(VLOOKUP(Table234534568791112151416171819202122232425262728345678910113456789101112[[#This Row],[Date]],'March Expense'!H13:K126,3,0),0)</f>
        <v>0</v>
      </c>
      <c r="J15" s="7">
        <f>IFERROR(VLOOKUP(Table234534568791112151416171819202122232425262728345678910113456789101112[[#This Row],[Date]],'March Expense'!H13:K126,4,0),0)</f>
        <v>1000</v>
      </c>
      <c r="K15" s="7">
        <f>Table2345345687911121514161718192021222324252627283456789101134567891011126789[[#This Row],[Account Transfer]]-Table2345345687911121514161718192021222324252627283456789101134567891011126789[[#This Row],[Expense Online]]</f>
        <v>27230</v>
      </c>
      <c r="L15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-5644</v>
      </c>
      <c r="M15" s="7">
        <f>Table2345345687911121514161718192021222324252627283456789101134567891011126789[[#This Row],[Cash]]-Table2345345687911121514161718192021222324252627283456789101134567891011126789[[#This Row],[Expense]]</f>
        <v>900</v>
      </c>
      <c r="O15" s="8">
        <f t="shared" si="14"/>
        <v>45725</v>
      </c>
      <c r="P15" s="9">
        <f>Q15/3</f>
        <v>1573.6000000000001</v>
      </c>
      <c r="Q15" s="9">
        <f>S15*0.3</f>
        <v>4720.8</v>
      </c>
      <c r="R15" s="9">
        <f t="shared" si="15"/>
        <v>11015.2</v>
      </c>
      <c r="S15" s="9">
        <f t="shared" ref="S15:S20" si="19">T15+U15</f>
        <v>15736</v>
      </c>
      <c r="T15" s="9">
        <f t="shared" si="16"/>
        <v>4350</v>
      </c>
      <c r="U15" s="9">
        <f t="shared" si="17"/>
        <v>11386</v>
      </c>
      <c r="V15" s="9">
        <f t="shared" si="18"/>
        <v>200</v>
      </c>
    </row>
    <row r="16" spans="1:22" x14ac:dyDescent="0.35">
      <c r="A16" s="6">
        <v>45730</v>
      </c>
      <c r="B16" s="7">
        <f>Table2345345687911121514161718192021222324252627283456789101134567891011126789[[#This Row],[Profit]]-Table2345345687911121514161718192021222324252627283456789101134567891011126789[[#This Row],[Mulbhag]]</f>
        <v>3827.3999999999996</v>
      </c>
      <c r="C16" s="43">
        <f>Table234534568791112151416171819202122232425262728345678910113456789101112[[#This Row],[Profit]]/3</f>
        <v>0</v>
      </c>
      <c r="D16" s="7">
        <f t="shared" si="3"/>
        <v>0</v>
      </c>
      <c r="E16" s="7">
        <f t="shared" si="4"/>
        <v>0</v>
      </c>
      <c r="F16" s="7">
        <f t="shared" si="5"/>
        <v>0</v>
      </c>
      <c r="G16" s="7"/>
      <c r="H16" s="7"/>
      <c r="I16" s="7">
        <f>IFERROR(VLOOKUP(Table234534568791112151416171819202122232425262728345678910113456789101112[[#This Row],[Date]],'March Expense'!H14:K127,3,0),0)</f>
        <v>0</v>
      </c>
      <c r="J16" s="7">
        <f>IFERROR(VLOOKUP(Table234534568791112151416171819202122232425262728345678910113456789101112[[#This Row],[Date]],'March Expense'!H14:K127,4,0),0)</f>
        <v>0</v>
      </c>
      <c r="K16" s="7">
        <f>Table2345345687911121514161718192021222324252627283456789101134567891011126789[[#This Row],[Account Transfer]]-Table2345345687911121514161718192021222324252627283456789101134567891011126789[[#This Row],[Expense Online]]</f>
        <v>12777</v>
      </c>
      <c r="L16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-3827.3999999999996</v>
      </c>
      <c r="M16" s="7">
        <f>Table2345345687911121514161718192021222324252627283456789101134567891011126789[[#This Row],[Cash]]-Table2345345687911121514161718192021222324252627283456789101134567891011126789[[#This Row],[Expense]]</f>
        <v>6360</v>
      </c>
      <c r="O16" s="10">
        <f t="shared" si="14"/>
        <v>45726</v>
      </c>
      <c r="P16" s="11">
        <f t="shared" ref="P16:P20" si="20">Q16/3</f>
        <v>1997</v>
      </c>
      <c r="Q16" s="11">
        <f t="shared" ref="Q16:Q20" si="21">S16*0.3</f>
        <v>5991</v>
      </c>
      <c r="R16" s="11">
        <f t="shared" si="15"/>
        <v>13979</v>
      </c>
      <c r="S16" s="11">
        <f t="shared" si="19"/>
        <v>19970</v>
      </c>
      <c r="T16" s="11">
        <f t="shared" si="16"/>
        <v>4620</v>
      </c>
      <c r="U16" s="11">
        <f t="shared" si="17"/>
        <v>15350</v>
      </c>
      <c r="V16" s="11">
        <f t="shared" si="18"/>
        <v>0</v>
      </c>
    </row>
    <row r="17" spans="1:22" x14ac:dyDescent="0.35">
      <c r="A17" s="6">
        <v>45731</v>
      </c>
      <c r="B17" s="7">
        <f>Table2345345687911121514161718192021222324252627283456789101134567891011126789[[#This Row],[Profit]]-Table2345345687911121514161718192021222324252627283456789101134567891011126789[[#This Row],[Mulbhag]]</f>
        <v>4416.7999999999993</v>
      </c>
      <c r="C17" s="28">
        <f>Table234534568791112151416171819202122232425262728345678910113456789101112[[#This Row],[Profit]]/3</f>
        <v>3062.5</v>
      </c>
      <c r="D17" s="7">
        <f t="shared" si="3"/>
        <v>9187.5</v>
      </c>
      <c r="E17" s="7">
        <f t="shared" si="4"/>
        <v>21437.5</v>
      </c>
      <c r="F17" s="7">
        <f t="shared" si="5"/>
        <v>30625</v>
      </c>
      <c r="G17" s="7">
        <v>2850</v>
      </c>
      <c r="H17" s="7">
        <v>27775</v>
      </c>
      <c r="I17" s="7">
        <f>IFERROR(VLOOKUP(Table234534568791112151416171819202122232425262728345678910113456789101112[[#This Row],[Date]],'March Expense'!H15:K128,3,0),0)</f>
        <v>300</v>
      </c>
      <c r="J17" s="7">
        <f>IFERROR(VLOOKUP(Table234534568791112151416171819202122232425262728345678910113456789101112[[#This Row],[Date]],'March Expense'!H15:K128,4,0),0)</f>
        <v>20000</v>
      </c>
      <c r="K17" s="7">
        <f>Table2345345687911121514161718192021222324252627283456789101134567891011126789[[#This Row],[Account Transfer]]-Table2345345687911121514161718192021222324252627283456789101134567891011126789[[#This Row],[Expense Online]]</f>
        <v>17314</v>
      </c>
      <c r="L17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-4929.2999999999993</v>
      </c>
      <c r="M17" s="7">
        <f>Table2345345687911121514161718192021222324252627283456789101134567891011126789[[#This Row],[Cash]]-Table2345345687911121514161718192021222324252627283456789101134567891011126789[[#This Row],[Expense]]</f>
        <v>4770</v>
      </c>
      <c r="O17" s="8">
        <f t="shared" si="14"/>
        <v>45727</v>
      </c>
      <c r="P17" s="9">
        <f t="shared" si="20"/>
        <v>4569.8</v>
      </c>
      <c r="Q17" s="9">
        <f t="shared" si="21"/>
        <v>13709.4</v>
      </c>
      <c r="R17" s="9">
        <f t="shared" si="15"/>
        <v>31988.6</v>
      </c>
      <c r="S17" s="9">
        <f t="shared" si="19"/>
        <v>45698</v>
      </c>
      <c r="T17" s="9">
        <f t="shared" si="16"/>
        <v>10450</v>
      </c>
      <c r="U17" s="9">
        <f t="shared" si="17"/>
        <v>35248</v>
      </c>
      <c r="V17" s="9">
        <f t="shared" si="18"/>
        <v>400</v>
      </c>
    </row>
    <row r="18" spans="1:22" x14ac:dyDescent="0.35">
      <c r="A18" s="6">
        <v>45732</v>
      </c>
      <c r="B18" s="7">
        <f>Table2345345687911121514161718192021222324252627283456789101134567891011126789[[#This Row],[Profit]]-Table2345345687911121514161718192021222324252627283456789101134567891011126789[[#This Row],[Mulbhag]]</f>
        <v>2600</v>
      </c>
      <c r="C18" s="28">
        <f>Table234534568791112151416171819202122232425262728345678910113456789101112[[#This Row],[Profit]]/3</f>
        <v>1412</v>
      </c>
      <c r="D18" s="7">
        <f t="shared" si="3"/>
        <v>4236</v>
      </c>
      <c r="E18" s="7">
        <f t="shared" si="4"/>
        <v>9884</v>
      </c>
      <c r="F18" s="7">
        <f t="shared" si="5"/>
        <v>14120</v>
      </c>
      <c r="G18" s="7">
        <v>7300</v>
      </c>
      <c r="H18" s="7">
        <v>6820</v>
      </c>
      <c r="I18" s="7">
        <f>IFERROR(VLOOKUP(Table234534568791112151416171819202122232425262728345678910113456789101112[[#This Row],[Date]],'March Expense'!H16:K129,3,0),0)</f>
        <v>200</v>
      </c>
      <c r="J18" s="7">
        <f>IFERROR(VLOOKUP(Table234534568791112151416171819202122232425262728345678910113456789101112[[#This Row],[Date]],'March Expense'!H16:K129,4,0),0)</f>
        <v>7600</v>
      </c>
      <c r="K18" s="7">
        <f>Table2345345687911121514161718192021222324252627283456789101134567891011126789[[#This Row],[Account Transfer]]-Table2345345687911121514161718192021222324252627283456789101134567891011126789[[#This Row],[Expense Online]]</f>
        <v>5200</v>
      </c>
      <c r="L18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3088</v>
      </c>
      <c r="M18" s="7">
        <f>Table2345345687911121514161718192021222324252627283456789101134567891011126789[[#This Row],[Cash]]-Table2345345687911121514161718192021222324252627283456789101134567891011126789[[#This Row],[Expense]]</f>
        <v>7800</v>
      </c>
      <c r="O18" s="10">
        <f t="shared" si="14"/>
        <v>45728</v>
      </c>
      <c r="P18" s="11">
        <f t="shared" si="20"/>
        <v>976.5</v>
      </c>
      <c r="Q18" s="11">
        <f t="shared" si="21"/>
        <v>2929.5</v>
      </c>
      <c r="R18" s="11">
        <f t="shared" si="15"/>
        <v>6835.5</v>
      </c>
      <c r="S18" s="11">
        <f t="shared" si="19"/>
        <v>9765</v>
      </c>
      <c r="T18" s="11">
        <f t="shared" si="16"/>
        <v>5140</v>
      </c>
      <c r="U18" s="11">
        <f t="shared" si="17"/>
        <v>4625</v>
      </c>
      <c r="V18" s="11">
        <f t="shared" si="18"/>
        <v>300</v>
      </c>
    </row>
    <row r="19" spans="1:22" x14ac:dyDescent="0.35">
      <c r="A19" s="6">
        <v>45733</v>
      </c>
      <c r="B19" s="7">
        <f>Table2345345687911121514161718192021222324252627283456789101134567891011126789[[#This Row],[Profit]]-Table2345345687911121514161718192021222324252627283456789101134567891011126789[[#This Row],[Mulbhag]]</f>
        <v>1540</v>
      </c>
      <c r="C19" s="28">
        <f>Table234534568791112151416171819202122232425262728345678910113456789101112[[#This Row],[Profit]]/3</f>
        <v>742.5</v>
      </c>
      <c r="D19" s="7">
        <f t="shared" ref="D19:D33" si="22">F19*0.3</f>
        <v>2227.5</v>
      </c>
      <c r="E19" s="7">
        <f t="shared" ref="E19:E33" si="23">F19-D19</f>
        <v>5197.5</v>
      </c>
      <c r="F19" s="7">
        <f t="shared" ref="F19:F33" si="24">G19+H19</f>
        <v>7425</v>
      </c>
      <c r="G19" s="7">
        <v>5235</v>
      </c>
      <c r="H19" s="7">
        <v>2190</v>
      </c>
      <c r="I19" s="7">
        <f>IFERROR(VLOOKUP(Table234534568791112151416171819202122232425262728345678910113456789101112[[#This Row],[Date]],'March Expense'!H17:K130,3,0),0)</f>
        <v>190</v>
      </c>
      <c r="J19" s="7">
        <f>IFERROR(VLOOKUP(Table234534568791112151416171819202122232425262728345678910113456789101112[[#This Row],[Date]],'March Expense'!H17:K130,4,0),0)</f>
        <v>1700</v>
      </c>
      <c r="K19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19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2762.5</v>
      </c>
      <c r="M19" s="7">
        <f>Table2345345687911121514161718192021222324252627283456789101134567891011126789[[#This Row],[Cash]]-Table2345345687911121514161718192021222324252627283456789101134567891011126789[[#This Row],[Expense]]</f>
        <v>7700</v>
      </c>
      <c r="O19" s="8">
        <f t="shared" si="14"/>
        <v>45729</v>
      </c>
      <c r="P19" s="9">
        <f t="shared" si="20"/>
        <v>798</v>
      </c>
      <c r="Q19" s="9">
        <f t="shared" si="21"/>
        <v>2394</v>
      </c>
      <c r="R19" s="9">
        <f t="shared" si="15"/>
        <v>5586</v>
      </c>
      <c r="S19" s="9">
        <f t="shared" si="19"/>
        <v>7980</v>
      </c>
      <c r="T19" s="9">
        <f t="shared" si="16"/>
        <v>780</v>
      </c>
      <c r="U19" s="9">
        <f t="shared" si="17"/>
        <v>7200</v>
      </c>
      <c r="V19" s="9">
        <f t="shared" si="18"/>
        <v>0</v>
      </c>
    </row>
    <row r="20" spans="1:22" x14ac:dyDescent="0.35">
      <c r="A20" s="6">
        <v>45734</v>
      </c>
      <c r="B20" s="7">
        <f>Table2345345687911121514161718192021222324252627283456789101134567891011126789[[#This Row],[Profit]]-Table2345345687911121514161718192021222324252627283456789101134567891011126789[[#This Row],[Mulbhag]]</f>
        <v>3756</v>
      </c>
      <c r="C20" s="28">
        <f>Table234534568791112151416171819202122232425262728345678910113456789101112[[#This Row],[Profit]]/3</f>
        <v>2303.5</v>
      </c>
      <c r="D20" s="7">
        <f t="shared" si="22"/>
        <v>6910.5</v>
      </c>
      <c r="E20" s="7">
        <f t="shared" si="23"/>
        <v>16124.5</v>
      </c>
      <c r="F20" s="7">
        <f t="shared" si="24"/>
        <v>23035</v>
      </c>
      <c r="G20" s="7">
        <v>4820</v>
      </c>
      <c r="H20" s="7">
        <v>18215</v>
      </c>
      <c r="I20" s="7">
        <f>IFERROR(VLOOKUP(Table234534568791112151416171819202122232425262728345678910113456789101112[[#This Row],[Date]],'March Expense'!H18:K131,3,0),0)</f>
        <v>4300</v>
      </c>
      <c r="J20" s="7">
        <f>IFERROR(VLOOKUP(Table234534568791112151416171819202122232425262728345678910113456789101112[[#This Row],[Date]],'March Expense'!H18:K131,4,0),0)</f>
        <v>0</v>
      </c>
      <c r="K20" s="7">
        <f>Table2345345687911121514161718192021222324252627283456789101134567891011126789[[#This Row],[Account Transfer]]-Table2345345687911121514161718192021222324252627283456789101134567891011126789[[#This Row],[Expense Online]]</f>
        <v>13150</v>
      </c>
      <c r="L20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-5539.5</v>
      </c>
      <c r="M20" s="7">
        <f>Table2345345687911121514161718192021222324252627283456789101134567891011126789[[#This Row],[Cash]]-Table2345345687911121514161718192021222324252627283456789101134567891011126789[[#This Row],[Expense]]</f>
        <v>5630</v>
      </c>
      <c r="O20" s="10">
        <f t="shared" si="14"/>
        <v>45730</v>
      </c>
      <c r="P20" s="11">
        <f t="shared" si="20"/>
        <v>0</v>
      </c>
      <c r="Q20" s="11">
        <f t="shared" si="21"/>
        <v>0</v>
      </c>
      <c r="R20" s="11">
        <f t="shared" si="15"/>
        <v>0</v>
      </c>
      <c r="S20" s="11">
        <f t="shared" si="19"/>
        <v>0</v>
      </c>
      <c r="T20" s="11">
        <f t="shared" si="16"/>
        <v>0</v>
      </c>
      <c r="U20" s="11">
        <f t="shared" si="17"/>
        <v>0</v>
      </c>
      <c r="V20" s="11">
        <f t="shared" si="18"/>
        <v>0</v>
      </c>
    </row>
    <row r="21" spans="1:22" x14ac:dyDescent="0.35">
      <c r="A21" s="6">
        <v>45735</v>
      </c>
      <c r="B21" s="7">
        <f>Table2345345687911121514161718192021222324252627283456789101134567891011126789[[#This Row],[Profit]]-Table2345345687911121514161718192021222324252627283456789101134567891011126789[[#This Row],[Mulbhag]]</f>
        <v>5244</v>
      </c>
      <c r="C21" s="28">
        <f>Table234534568791112151416171819202122232425262728345678910113456789101112[[#This Row],[Profit]]/3</f>
        <v>2865.5</v>
      </c>
      <c r="D21" s="7">
        <f t="shared" si="22"/>
        <v>8596.5</v>
      </c>
      <c r="E21" s="7">
        <f t="shared" si="23"/>
        <v>20058.5</v>
      </c>
      <c r="F21" s="7">
        <f t="shared" si="24"/>
        <v>28655</v>
      </c>
      <c r="G21" s="7">
        <v>2700</v>
      </c>
      <c r="H21" s="7">
        <f>10000+15955</f>
        <v>25955</v>
      </c>
      <c r="I21" s="7">
        <f>IFERROR(VLOOKUP(Table234534568791112151416171819202122232425262728345678910113456789101112[[#This Row],[Date]],'March Expense'!H19:K132,3,0),0)</f>
        <v>1660</v>
      </c>
      <c r="J21" s="7">
        <f>IFERROR(VLOOKUP(Table234534568791112151416171819202122232425262728345678910113456789101112[[#This Row],[Date]],'March Expense'!H19:K132,4,0),0)</f>
        <v>0</v>
      </c>
      <c r="K21" s="7">
        <f>Table2345345687911121514161718192021222324252627283456789101134567891011126789[[#This Row],[Account Transfer]]-Table2345345687911121514161718192021222324252627283456789101134567891011126789[[#This Row],[Expense Online]]</f>
        <v>25320</v>
      </c>
      <c r="L21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-7069.5</v>
      </c>
      <c r="M21" s="7">
        <f>Table2345345687911121514161718192021222324252627283456789101134567891011126789[[#This Row],[Cash]]-Table2345345687911121514161718192021222324252627283456789101134567891011126789[[#This Row],[Expense]]</f>
        <v>900</v>
      </c>
      <c r="O21" s="12" t="s">
        <v>3</v>
      </c>
      <c r="P21" s="12">
        <f>SUM(P14:P20)</f>
        <v>11147.900000000001</v>
      </c>
      <c r="Q21" s="12">
        <f t="shared" ref="Q21:V21" si="25">SUM(Q14:Q20)</f>
        <v>33443.699999999997</v>
      </c>
      <c r="R21" s="12">
        <f t="shared" si="25"/>
        <v>78035.299999999988</v>
      </c>
      <c r="S21" s="12">
        <f t="shared" si="25"/>
        <v>111479</v>
      </c>
      <c r="T21" s="12">
        <f t="shared" si="25"/>
        <v>28920</v>
      </c>
      <c r="U21" s="12">
        <f t="shared" si="25"/>
        <v>82559</v>
      </c>
      <c r="V21" s="12">
        <f t="shared" si="25"/>
        <v>1100</v>
      </c>
    </row>
    <row r="22" spans="1:22" x14ac:dyDescent="0.35">
      <c r="A22" s="6">
        <v>45736</v>
      </c>
      <c r="B22" s="7">
        <f>Table2345345687911121514161718192021222324252627283456789101134567891011126789[[#This Row],[Profit]]-Table2345345687911121514161718192021222324252627283456789101134567891011126789[[#This Row],[Mulbhag]]</f>
        <v>1558.1999999999998</v>
      </c>
      <c r="C22" s="28">
        <f>Table234534568791112151416171819202122232425262728345678910113456789101112[[#This Row],[Profit]]/3</f>
        <v>779.19999999999993</v>
      </c>
      <c r="D22" s="7">
        <f t="shared" si="22"/>
        <v>2337.6</v>
      </c>
      <c r="E22" s="7">
        <f t="shared" si="23"/>
        <v>5454.4</v>
      </c>
      <c r="F22" s="7">
        <f t="shared" si="24"/>
        <v>7792</v>
      </c>
      <c r="G22" s="7">
        <v>3650</v>
      </c>
      <c r="H22" s="7">
        <f>3950+192</f>
        <v>4142</v>
      </c>
      <c r="I22" s="7">
        <f>IFERROR(VLOOKUP(Table234534568791112151416171819202122232425262728345678910113456789101112[[#This Row],[Date]],'March Expense'!H20:K133,3,0),0)</f>
        <v>100</v>
      </c>
      <c r="J22" s="7">
        <f>IFERROR(VLOOKUP(Table234534568791112151416171819202122232425262728345678910113456789101112[[#This Row],[Date]],'March Expense'!H20:K133,4,0),0)</f>
        <v>80000</v>
      </c>
      <c r="K22" s="7">
        <f>Table2345345687911121514161718192021222324252627283456789101134567891011126789[[#This Row],[Account Transfer]]-Table2345345687911121514161718192021222324252627283456789101134567891011126789[[#This Row],[Expense Online]]</f>
        <v>6111</v>
      </c>
      <c r="L22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1212.6000000000004</v>
      </c>
      <c r="M22" s="7">
        <f>Table2345345687911121514161718192021222324252627283456789101134567891011126789[[#This Row],[Cash]]-Table2345345687911121514161718192021222324252627283456789101134567891011126789[[#This Row],[Expense]]</f>
        <v>1680</v>
      </c>
      <c r="O22" s="12" t="s">
        <v>7</v>
      </c>
      <c r="P22" s="12"/>
      <c r="Q22" s="12">
        <f>Q21/3</f>
        <v>11147.9</v>
      </c>
      <c r="R22" s="12"/>
      <c r="S22" s="12">
        <f>R22+Q22</f>
        <v>11147.9</v>
      </c>
      <c r="T22" s="11"/>
      <c r="U22" s="11"/>
      <c r="V22" s="11"/>
    </row>
    <row r="23" spans="1:22" x14ac:dyDescent="0.35">
      <c r="A23" s="6">
        <v>45737</v>
      </c>
      <c r="B23" s="7">
        <f>Table2345345687911121514161718192021222324252627283456789101134567891011126789[[#This Row],[Profit]]-Table2345345687911121514161718192021222324252627283456789101134567891011126789[[#This Row],[Mulbhag]]</f>
        <v>3086.2</v>
      </c>
      <c r="C23" s="28">
        <f>Table234534568791112151416171819202122232425262728345678910113456789101112[[#This Row],[Profit]]/3</f>
        <v>2762.5</v>
      </c>
      <c r="D23" s="7">
        <f t="shared" si="22"/>
        <v>8287.5</v>
      </c>
      <c r="E23" s="7">
        <f t="shared" si="23"/>
        <v>19337.5</v>
      </c>
      <c r="F23" s="7">
        <f t="shared" si="24"/>
        <v>27625</v>
      </c>
      <c r="G23" s="7">
        <v>21650</v>
      </c>
      <c r="H23" s="7">
        <f>5725+250</f>
        <v>5975</v>
      </c>
      <c r="I23" s="7">
        <f>IFERROR(VLOOKUP(Table234534568791112151416171819202122232425262728345678910113456789101112[[#This Row],[Date]],'March Expense'!H21:K134,3,0),0)</f>
        <v>51500</v>
      </c>
      <c r="J23" s="7">
        <f>IFERROR(VLOOKUP(Table234534568791112151416171819202122232425262728345678910113456789101112[[#This Row],[Date]],'March Expense'!H21:K134,4,0),0)</f>
        <v>17000</v>
      </c>
      <c r="K23" s="7">
        <f>Table2345345687911121514161718192021222324252627283456789101134567891011126789[[#This Row],[Account Transfer]]-Table2345345687911121514161718192021222324252627283456789101134567891011126789[[#This Row],[Expense Online]]</f>
        <v>12750</v>
      </c>
      <c r="L23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-35698.699999999997</v>
      </c>
      <c r="M23" s="7">
        <f>Table2345345687911121514161718192021222324252627283456789101134567891011126789[[#This Row],[Cash]]-Table2345345687911121514161718192021222324252627283456789101134567891011126789[[#This Row],[Expense]]</f>
        <v>2681</v>
      </c>
    </row>
    <row r="24" spans="1:22" x14ac:dyDescent="0.35">
      <c r="A24" s="6">
        <v>45738</v>
      </c>
      <c r="B24" s="7">
        <f>Table2345345687911121514161718192021222324252627283456789101134567891011126789[[#This Row],[Profit]]-Table2345345687911121514161718192021222324252627283456789101134567891011126789[[#This Row],[Mulbhag]]</f>
        <v>10266.399999999998</v>
      </c>
      <c r="C24" s="28">
        <f>Table234534568791112151416171819202122232425262728345678910113456789101112[[#This Row],[Profit]]/3</f>
        <v>2261.5</v>
      </c>
      <c r="D24" s="7">
        <f t="shared" si="22"/>
        <v>6784.5</v>
      </c>
      <c r="E24" s="7">
        <f t="shared" si="23"/>
        <v>15830.5</v>
      </c>
      <c r="F24" s="7">
        <f t="shared" si="24"/>
        <v>22615</v>
      </c>
      <c r="G24" s="7">
        <v>8900</v>
      </c>
      <c r="H24" s="7">
        <v>13715</v>
      </c>
      <c r="I24" s="7">
        <f>IFERROR(VLOOKUP(Table234534568791112151416171819202122232425262728345678910113456789101112[[#This Row],[Date]],'March Expense'!H22:K135,3,0),0)</f>
        <v>2200</v>
      </c>
      <c r="J24" s="7">
        <f>IFERROR(VLOOKUP(Table234534568791112151416171819202122232425262728345678910113456789101112[[#This Row],[Date]],'March Expense'!H22:K135,4,0),0)</f>
        <v>1600</v>
      </c>
      <c r="K24" s="7">
        <f>Table2345345687911121514161718192021222324252627283456789101134567891011126789[[#This Row],[Account Transfer]]-Table2345345687911121514161718192021222324252627283456789101134567891011126789[[#This Row],[Expense Online]]</f>
        <v>35382</v>
      </c>
      <c r="L24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-5827.8999999999978</v>
      </c>
      <c r="M24" s="7">
        <f>Table2345345687911121514161718192021222324252627283456789101134567891011126789[[#This Row],[Cash]]-Table2345345687911121514161718192021222324252627283456789101134567891011126789[[#This Row],[Expense]]</f>
        <v>15950</v>
      </c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45739</v>
      </c>
      <c r="B25" s="7">
        <f>Table2345345687911121514161718192021222324252627283456789101134567891011126789[[#This Row],[Profit]]-Table2345345687911121514161718192021222324252627283456789101134567891011126789[[#This Row],[Mulbhag]]</f>
        <v>3814</v>
      </c>
      <c r="C25" s="28">
        <f>Table234534568791112151416171819202122232425262728345678910113456789101112[[#This Row],[Profit]]/3</f>
        <v>657.1</v>
      </c>
      <c r="D25" s="7">
        <f t="shared" si="22"/>
        <v>1971.3</v>
      </c>
      <c r="E25" s="7">
        <f t="shared" si="23"/>
        <v>4599.7</v>
      </c>
      <c r="F25" s="7">
        <f t="shared" si="24"/>
        <v>6571</v>
      </c>
      <c r="G25" s="7">
        <v>3420</v>
      </c>
      <c r="H25" s="7">
        <f>350+951+1850</f>
        <v>3151</v>
      </c>
      <c r="I25" s="7">
        <f>IFERROR(VLOOKUP(Table234534568791112151416171819202122232425262728345678910113456789101112[[#This Row],[Date]],'March Expense'!H23:K136,3,0),0)</f>
        <v>660</v>
      </c>
      <c r="J25" s="7">
        <f>IFERROR(VLOOKUP(Table234534568791112151416171819202122232425262728345678910113456789101112[[#This Row],[Date]],'March Expense'!H23:K136,4,0),0)</f>
        <v>0</v>
      </c>
      <c r="K25" s="7">
        <f>Table2345345687911121514161718192021222324252627283456789101134567891011126789[[#This Row],[Account Transfer]]-Table2345345687911121514161718192021222324252627283456789101134567891011126789[[#This Row],[Expense Online]]</f>
        <v>11320</v>
      </c>
      <c r="L25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-1711.1</v>
      </c>
      <c r="M25" s="7">
        <f>Table2345345687911121514161718192021222324252627283456789101134567891011126789[[#This Row],[Cash]]-Table2345345687911121514161718192021222324252627283456789101134567891011126789[[#This Row],[Expense]]</f>
        <v>7750</v>
      </c>
      <c r="O25" s="10">
        <f t="shared" ref="O25:O31" si="26">A17</f>
        <v>45731</v>
      </c>
      <c r="P25" s="11">
        <f>Q25/3</f>
        <v>3062.5</v>
      </c>
      <c r="Q25" s="11">
        <f>S25*0.3</f>
        <v>9187.5</v>
      </c>
      <c r="R25" s="11">
        <f t="shared" ref="R25:R31" si="27">S25-Q25</f>
        <v>21437.5</v>
      </c>
      <c r="S25" s="11">
        <f>T25+U25</f>
        <v>30625</v>
      </c>
      <c r="T25" s="11">
        <f t="shared" ref="T25:T31" si="28">VLOOKUP(O25,$A$1:$J$34,7,0)</f>
        <v>2850</v>
      </c>
      <c r="U25" s="11">
        <f t="shared" ref="U25:U31" si="29">VLOOKUP(O25,$A$1:$J$34,8,0)</f>
        <v>27775</v>
      </c>
      <c r="V25" s="11">
        <f t="shared" ref="V25:V31" si="30">VLOOKUP(O25,$A$1:$J$34,9,0)</f>
        <v>300</v>
      </c>
    </row>
    <row r="26" spans="1:22" x14ac:dyDescent="0.35">
      <c r="A26" s="6">
        <v>45740</v>
      </c>
      <c r="B26" s="7">
        <f>Table2345345687911121514161718192021222324252627283456789101134567891011126789[[#This Row],[Profit]]-Table2345345687911121514161718192021222324252627283456789101134567891011126789[[#This Row],[Mulbhag]]</f>
        <v>2068</v>
      </c>
      <c r="C26" s="28">
        <f>Table234534568791112151416171819202122232425262728345678910113456789101112[[#This Row],[Profit]]/3</f>
        <v>755</v>
      </c>
      <c r="D26" s="7">
        <f t="shared" si="22"/>
        <v>2265</v>
      </c>
      <c r="E26" s="7">
        <f t="shared" si="23"/>
        <v>5285</v>
      </c>
      <c r="F26" s="7">
        <f t="shared" si="24"/>
        <v>7550</v>
      </c>
      <c r="G26" s="7">
        <v>1400</v>
      </c>
      <c r="H26" s="7">
        <v>6150</v>
      </c>
      <c r="I26" s="7">
        <f>IFERROR(VLOOKUP(Table234534568791112151416171819202122232425262728345678910113456789101112[[#This Row],[Date]],'March Expense'!H24:K137,3,0),0)</f>
        <v>0</v>
      </c>
      <c r="J26" s="7">
        <f>IFERROR(VLOOKUP(Table234534568791112151416171819202122232425262728345678910113456789101112[[#This Row],[Date]],'March Expense'!H24:K137,4,0),0)</f>
        <v>2467</v>
      </c>
      <c r="K26" s="7">
        <f>Table2345345687911121514161718192021222324252627283456789101134567891011126789[[#This Row],[Account Transfer]]-Table2345345687911121514161718192021222324252627283456789101134567891011126789[[#This Row],[Expense Online]]</f>
        <v>8060</v>
      </c>
      <c r="L26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-1423</v>
      </c>
      <c r="M26" s="7">
        <f>Table2345345687911121514161718192021222324252627283456789101134567891011126789[[#This Row],[Cash]]-Table2345345687911121514161718192021222324252627283456789101134567891011126789[[#This Row],[Expense]]</f>
        <v>2280</v>
      </c>
      <c r="O26" s="8">
        <f t="shared" si="26"/>
        <v>45732</v>
      </c>
      <c r="P26" s="9">
        <f>Q26/3</f>
        <v>1412</v>
      </c>
      <c r="Q26" s="9">
        <f>S26*0.3</f>
        <v>4236</v>
      </c>
      <c r="R26" s="9">
        <f t="shared" si="27"/>
        <v>9884</v>
      </c>
      <c r="S26" s="9">
        <f t="shared" ref="S26:S31" si="31">T26+U26</f>
        <v>14120</v>
      </c>
      <c r="T26" s="9">
        <f t="shared" si="28"/>
        <v>7300</v>
      </c>
      <c r="U26" s="9">
        <f t="shared" si="29"/>
        <v>6820</v>
      </c>
      <c r="V26" s="9">
        <f t="shared" si="30"/>
        <v>200</v>
      </c>
    </row>
    <row r="27" spans="1:22" x14ac:dyDescent="0.35">
      <c r="A27" s="6">
        <v>45741</v>
      </c>
      <c r="B27" s="7">
        <f>Table2345345687911121514161718192021222324252627283456789101134567891011126789[[#This Row],[Profit]]-Table2345345687911121514161718192021222324252627283456789101134567891011126789[[#This Row],[Mulbhag]]</f>
        <v>2570</v>
      </c>
      <c r="C27" s="28">
        <f>Table234534568791112151416171819202122232425262728345678910113456789101112[[#This Row],[Profit]]/3</f>
        <v>585</v>
      </c>
      <c r="D27" s="7">
        <f t="shared" si="22"/>
        <v>1755</v>
      </c>
      <c r="E27" s="7">
        <f t="shared" si="23"/>
        <v>4095</v>
      </c>
      <c r="F27" s="7">
        <f t="shared" si="24"/>
        <v>5850</v>
      </c>
      <c r="G27" s="7">
        <v>3320</v>
      </c>
      <c r="H27" s="7">
        <f>400+2130</f>
        <v>2530</v>
      </c>
      <c r="I27" s="7">
        <f>IFERROR(VLOOKUP(Table234534568791112151416171819202122232425262728345678910113456789101112[[#This Row],[Date]],'March Expense'!H25:K138,3,0),0)</f>
        <v>0</v>
      </c>
      <c r="J27" s="7">
        <f>IFERROR(VLOOKUP(Table234534568791112151416171819202122232425262728345678910113456789101112[[#This Row],[Date]],'March Expense'!H25:K138,4,0),0)</f>
        <v>21500</v>
      </c>
      <c r="K27" s="7">
        <f>Table2345345687911121514161718192021222324252627283456789101134567891011126789[[#This Row],[Account Transfer]]-Table2345345687911121514161718192021222324252627283456789101134567891011126789[[#This Row],[Expense Online]]</f>
        <v>10180</v>
      </c>
      <c r="L27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165</v>
      </c>
      <c r="M27" s="7">
        <f>Table2345345687911121514161718192021222324252627283456789101134567891011126789[[#This Row],[Cash]]-Table2345345687911121514161718192021222324252627283456789101134567891011126789[[#This Row],[Expense]]</f>
        <v>2670</v>
      </c>
      <c r="O27" s="10">
        <f t="shared" si="26"/>
        <v>45733</v>
      </c>
      <c r="P27" s="11">
        <f t="shared" ref="P27:P31" si="32">Q27/3</f>
        <v>742.5</v>
      </c>
      <c r="Q27" s="11">
        <f t="shared" ref="Q27:Q31" si="33">S27*0.3</f>
        <v>2227.5</v>
      </c>
      <c r="R27" s="11">
        <f t="shared" si="27"/>
        <v>5197.5</v>
      </c>
      <c r="S27" s="11">
        <f t="shared" si="31"/>
        <v>7425</v>
      </c>
      <c r="T27" s="11">
        <f t="shared" si="28"/>
        <v>5235</v>
      </c>
      <c r="U27" s="11">
        <f t="shared" si="29"/>
        <v>2190</v>
      </c>
      <c r="V27" s="11">
        <f t="shared" si="30"/>
        <v>190</v>
      </c>
    </row>
    <row r="28" spans="1:22" x14ac:dyDescent="0.35">
      <c r="A28" s="6">
        <v>45742</v>
      </c>
      <c r="B28" s="7">
        <f>Table2345345687911121514161718192021222324252627283456789101134567891011126789[[#This Row],[Profit]]-Table2345345687911121514161718192021222324252627283456789101134567891011126789[[#This Row],[Mulbhag]]</f>
        <v>3125</v>
      </c>
      <c r="C28" s="28">
        <f>Table234534568791112151416171819202122232425262728345678910113456789101112[[#This Row],[Profit]]/3</f>
        <v>1060.0999999999999</v>
      </c>
      <c r="D28" s="7">
        <f t="shared" si="22"/>
        <v>3180.2999999999997</v>
      </c>
      <c r="E28" s="7">
        <f t="shared" si="23"/>
        <v>7420.7000000000007</v>
      </c>
      <c r="F28" s="7">
        <f t="shared" si="24"/>
        <v>10601</v>
      </c>
      <c r="G28" s="7">
        <v>3350</v>
      </c>
      <c r="H28" s="7">
        <v>7251</v>
      </c>
      <c r="I28" s="7">
        <f>IFERROR(VLOOKUP(Table234534568791112151416171819202122232425262728345678910113456789101112[[#This Row],[Date]],'March Expense'!H26:K139,3,0),0)</f>
        <v>0</v>
      </c>
      <c r="J28" s="7">
        <f>IFERROR(VLOOKUP(Table234534568791112151416171819202122232425262728345678910113456789101112[[#This Row],[Date]],'March Expense'!H26:K139,4,0),0)</f>
        <v>96047</v>
      </c>
      <c r="K28" s="7">
        <f>Table2345345687911121514161718192021222324252627283456789101134567891011126789[[#This Row],[Account Transfer]]-Table2345345687911121514161718192021222324252627283456789101134567891011126789[[#This Row],[Expense Online]]</f>
        <v>9886</v>
      </c>
      <c r="L28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-835.09999999999991</v>
      </c>
      <c r="M28" s="7">
        <f>Table2345345687911121514161718192021222324252627283456789101134567891011126789[[#This Row],[Cash]]-Table2345345687911121514161718192021222324252627283456789101134567891011126789[[#This Row],[Expense]]</f>
        <v>5739</v>
      </c>
      <c r="O28" s="8">
        <f t="shared" si="26"/>
        <v>45734</v>
      </c>
      <c r="P28" s="9">
        <f t="shared" si="32"/>
        <v>2303.5</v>
      </c>
      <c r="Q28" s="9">
        <f t="shared" si="33"/>
        <v>6910.5</v>
      </c>
      <c r="R28" s="9">
        <f t="shared" si="27"/>
        <v>16124.5</v>
      </c>
      <c r="S28" s="9">
        <f t="shared" si="31"/>
        <v>23035</v>
      </c>
      <c r="T28" s="9">
        <f t="shared" si="28"/>
        <v>4820</v>
      </c>
      <c r="U28" s="9">
        <f t="shared" si="29"/>
        <v>18215</v>
      </c>
      <c r="V28" s="9">
        <f t="shared" si="30"/>
        <v>4300</v>
      </c>
    </row>
    <row r="29" spans="1:22" x14ac:dyDescent="0.35">
      <c r="A29" s="6">
        <v>45743</v>
      </c>
      <c r="B29" s="7">
        <f>Table2345345687911121514161718192021222324252627283456789101134567891011126789[[#This Row],[Profit]]-Table2345345687911121514161718192021222324252627283456789101134567891011126789[[#This Row],[Mulbhag]]</f>
        <v>2169</v>
      </c>
      <c r="C29" s="28">
        <f>Table234534568791112151416171819202122232425262728345678910113456789101112[[#This Row],[Profit]]/3</f>
        <v>753</v>
      </c>
      <c r="D29" s="7">
        <f t="shared" si="22"/>
        <v>2259</v>
      </c>
      <c r="E29" s="7">
        <f t="shared" si="23"/>
        <v>5271</v>
      </c>
      <c r="F29" s="7">
        <f t="shared" si="24"/>
        <v>7530</v>
      </c>
      <c r="G29" s="7">
        <v>3650</v>
      </c>
      <c r="H29" s="7">
        <v>3880</v>
      </c>
      <c r="I29" s="7">
        <f>IFERROR(VLOOKUP(Table234534568791112151416171819202122232425262728345678910113456789101112[[#This Row],[Date]],'March Expense'!H27:K140,3,0),0)</f>
        <v>0</v>
      </c>
      <c r="J29" s="7">
        <f>IFERROR(VLOOKUP(Table234534568791112151416171819202122232425262728345678910113456789101112[[#This Row],[Date]],'March Expense'!H27:K140,4,0),0)</f>
        <v>0</v>
      </c>
      <c r="K29" s="7">
        <f>Table2345345687911121514161718192021222324252627283456789101134567891011126789[[#This Row],[Account Transfer]]-Table2345345687911121514161718192021222324252627283456789101134567891011126789[[#This Row],[Expense Online]]</f>
        <v>2450</v>
      </c>
      <c r="L29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728</v>
      </c>
      <c r="M29" s="7">
        <f>Table2345345687911121514161718192021222324252627283456789101134567891011126789[[#This Row],[Cash]]-Table2345345687911121514161718192021222324252627283456789101134567891011126789[[#This Row],[Expense]]</f>
        <v>8395</v>
      </c>
      <c r="O29" s="10">
        <f t="shared" si="26"/>
        <v>45735</v>
      </c>
      <c r="P29" s="11">
        <f t="shared" si="32"/>
        <v>2865.5</v>
      </c>
      <c r="Q29" s="11">
        <f t="shared" si="33"/>
        <v>8596.5</v>
      </c>
      <c r="R29" s="11">
        <f t="shared" si="27"/>
        <v>20058.5</v>
      </c>
      <c r="S29" s="11">
        <f t="shared" si="31"/>
        <v>28655</v>
      </c>
      <c r="T29" s="11">
        <f t="shared" si="28"/>
        <v>2700</v>
      </c>
      <c r="U29" s="11">
        <f t="shared" si="29"/>
        <v>25955</v>
      </c>
      <c r="V29" s="11">
        <f t="shared" si="30"/>
        <v>1660</v>
      </c>
    </row>
    <row r="30" spans="1:22" x14ac:dyDescent="0.35">
      <c r="A30" s="6">
        <v>45744</v>
      </c>
      <c r="B30" s="7">
        <f>Table2345345687911121514161718192021222324252627283456789101134567891011126789[[#This Row],[Profit]]-Table2345345687911121514161718192021222324252627283456789101134567891011126789[[#This Row],[Mulbhag]]</f>
        <v>9134.2000000000007</v>
      </c>
      <c r="C30" s="28">
        <f>Table234534568791112151416171819202122232425262728345678910113456789101112[[#This Row],[Profit]]/3</f>
        <v>893</v>
      </c>
      <c r="D30" s="7">
        <f t="shared" si="22"/>
        <v>2679</v>
      </c>
      <c r="E30" s="7">
        <f t="shared" si="23"/>
        <v>6251</v>
      </c>
      <c r="F30" s="7">
        <f t="shared" si="24"/>
        <v>8930</v>
      </c>
      <c r="G30" s="7">
        <v>6660</v>
      </c>
      <c r="H30" s="7">
        <v>2270</v>
      </c>
      <c r="I30" s="7">
        <f>IFERROR(VLOOKUP(Table234534568791112151416171819202122232425262728345678910113456789101112[[#This Row],[Date]],'March Expense'!H28:K141,3,0),0)</f>
        <v>0</v>
      </c>
      <c r="J30" s="7">
        <f>IFERROR(VLOOKUP(Table234534568791112151416171819202122232425262728345678910113456789101112[[#This Row],[Date]],'March Expense'!H28:K141,4,0),0)</f>
        <v>120073</v>
      </c>
      <c r="K30" s="7">
        <f>Table2345345687911121514161718192021222324252627283456789101134567891011126789[[#This Row],[Account Transfer]]-Table2345345687911121514161718192021222324252627283456789101134567891011126789[[#This Row],[Expense Online]]</f>
        <v>18525</v>
      </c>
      <c r="L30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-3367.2000000000007</v>
      </c>
      <c r="M30" s="7">
        <f>Table2345345687911121514161718192021222324252627283456789101134567891011126789[[#This Row],[Cash]]-Table2345345687911121514161718192021222324252627283456789101134567891011126789[[#This Row],[Expense]]</f>
        <v>27146</v>
      </c>
      <c r="O30" s="8">
        <f t="shared" si="26"/>
        <v>45736</v>
      </c>
      <c r="P30" s="9">
        <f t="shared" si="32"/>
        <v>779.19999999999993</v>
      </c>
      <c r="Q30" s="9">
        <f t="shared" si="33"/>
        <v>2337.6</v>
      </c>
      <c r="R30" s="9">
        <f t="shared" si="27"/>
        <v>5454.4</v>
      </c>
      <c r="S30" s="9">
        <f t="shared" si="31"/>
        <v>7792</v>
      </c>
      <c r="T30" s="9">
        <f t="shared" si="28"/>
        <v>3650</v>
      </c>
      <c r="U30" s="9">
        <f t="shared" si="29"/>
        <v>4142</v>
      </c>
      <c r="V30" s="9">
        <f t="shared" si="30"/>
        <v>100</v>
      </c>
    </row>
    <row r="31" spans="1:22" x14ac:dyDescent="0.35">
      <c r="A31" s="6">
        <v>45745</v>
      </c>
      <c r="B31" s="7">
        <f>Table2345345687911121514161718192021222324252627283456789101134567891011126789[[#This Row],[Profit]]-Table2345345687911121514161718192021222324252627283456789101134567891011126789[[#This Row],[Mulbhag]]</f>
        <v>0</v>
      </c>
      <c r="C31" s="28">
        <f>Table234534568791112151416171819202122232425262728345678910113456789101112[[#This Row],[Profit]]/3</f>
        <v>1352</v>
      </c>
      <c r="D31" s="7">
        <f t="shared" si="22"/>
        <v>4056</v>
      </c>
      <c r="E31" s="7">
        <f t="shared" si="23"/>
        <v>9464</v>
      </c>
      <c r="F31" s="7">
        <f t="shared" si="24"/>
        <v>13520</v>
      </c>
      <c r="G31" s="7">
        <v>5025</v>
      </c>
      <c r="H31" s="7">
        <f>3131+5364</f>
        <v>8495</v>
      </c>
      <c r="I31" s="7">
        <f>IFERROR(VLOOKUP(Table234534568791112151416171819202122232425262728345678910113456789101112[[#This Row],[Date]],'March Expense'!H29:K142,3,0),0)</f>
        <v>1300</v>
      </c>
      <c r="J31" s="7">
        <f>IFERROR(VLOOKUP(Table234534568791112151416171819202122232425262728345678910113456789101112[[#This Row],[Date]],'March Expense'!H29:K142,4,0),0)</f>
        <v>0</v>
      </c>
      <c r="K31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31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2373</v>
      </c>
      <c r="M31" s="7">
        <f>Table2345345687911121514161718192021222324252627283456789101134567891011126789[[#This Row],[Cash]]-Table2345345687911121514161718192021222324252627283456789101134567891011126789[[#This Row],[Expense]]</f>
        <v>0</v>
      </c>
      <c r="O31" s="10">
        <f t="shared" si="26"/>
        <v>45737</v>
      </c>
      <c r="P31" s="11">
        <f t="shared" si="32"/>
        <v>2762.5</v>
      </c>
      <c r="Q31" s="11">
        <f t="shared" si="33"/>
        <v>8287.5</v>
      </c>
      <c r="R31" s="11">
        <f t="shared" si="27"/>
        <v>19337.5</v>
      </c>
      <c r="S31" s="11">
        <f t="shared" si="31"/>
        <v>27625</v>
      </c>
      <c r="T31" s="11">
        <f t="shared" si="28"/>
        <v>21650</v>
      </c>
      <c r="U31" s="11">
        <f t="shared" si="29"/>
        <v>5975</v>
      </c>
      <c r="V31" s="11">
        <f t="shared" si="30"/>
        <v>51500</v>
      </c>
    </row>
    <row r="32" spans="1:22" x14ac:dyDescent="0.35">
      <c r="A32" s="6">
        <v>45746</v>
      </c>
      <c r="B32" s="7">
        <f>Table2345345687911121514161718192021222324252627283456789101134567891011126789[[#This Row],[Profit]]-Table2345345687911121514161718192021222324252627283456789101134567891011126789[[#This Row],[Mulbhag]]</f>
        <v>0</v>
      </c>
      <c r="C32" s="28">
        <f>Table234534568791112151416171819202122232425262728345678910113456789101112[[#This Row],[Profit]]/3</f>
        <v>2794.3999999999996</v>
      </c>
      <c r="D32" s="7">
        <f t="shared" si="22"/>
        <v>8383.1999999999989</v>
      </c>
      <c r="E32" s="7">
        <f t="shared" si="23"/>
        <v>19560.800000000003</v>
      </c>
      <c r="F32" s="7">
        <f t="shared" si="24"/>
        <v>27944</v>
      </c>
      <c r="G32" s="7">
        <v>15239</v>
      </c>
      <c r="H32" s="7">
        <v>12705</v>
      </c>
      <c r="I32" s="7">
        <f>IFERROR(VLOOKUP(Table234534568791112151416171819202122232425262728345678910113456789101112[[#This Row],[Date]],'March Expense'!H30:K143,3,0),0)</f>
        <v>2850</v>
      </c>
      <c r="J32" s="7">
        <f>IFERROR(VLOOKUP(Table234534568791112151416171819202122232425262728345678910113456789101112[[#This Row],[Date]],'March Expense'!H30:K143,4,0),0)</f>
        <v>1500</v>
      </c>
      <c r="K32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32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9594.6</v>
      </c>
      <c r="M32" s="7">
        <f>Table2345345687911121514161718192021222324252627283456789101134567891011126789[[#This Row],[Cash]]-Table2345345687911121514161718192021222324252627283456789101134567891011126789[[#This Row],[Expense]]</f>
        <v>0</v>
      </c>
      <c r="O32" s="12" t="s">
        <v>3</v>
      </c>
      <c r="P32" s="12">
        <f>SUM(P25:P31)</f>
        <v>13927.7</v>
      </c>
      <c r="Q32" s="11">
        <f t="shared" ref="Q32:V32" si="34">SUM(Q25:Q31)</f>
        <v>41783.1</v>
      </c>
      <c r="R32" s="11">
        <f t="shared" si="34"/>
        <v>97493.9</v>
      </c>
      <c r="S32" s="11">
        <f t="shared" si="34"/>
        <v>139277</v>
      </c>
      <c r="T32" s="11">
        <f t="shared" si="34"/>
        <v>48205</v>
      </c>
      <c r="U32" s="11">
        <f t="shared" si="34"/>
        <v>91072</v>
      </c>
      <c r="V32" s="11">
        <f t="shared" si="34"/>
        <v>58250</v>
      </c>
    </row>
    <row r="33" spans="1:22" x14ac:dyDescent="0.35">
      <c r="A33" s="6">
        <v>45747</v>
      </c>
      <c r="B33" s="7">
        <f>Table2345345687911121514161718192021222324252627283456789101134567891011126789[[#This Row],[Profit]]-Table2345345687911121514161718192021222324252627283456789101134567891011126789[[#This Row],[Mulbhag]]</f>
        <v>0</v>
      </c>
      <c r="C33" s="28">
        <f>Table234534568791112151416171819202122232425262728345678910113456789101112[[#This Row],[Profit]]/3</f>
        <v>1322</v>
      </c>
      <c r="D33" s="7">
        <f t="shared" si="22"/>
        <v>3966</v>
      </c>
      <c r="E33" s="7">
        <f t="shared" si="23"/>
        <v>9254</v>
      </c>
      <c r="F33" s="7">
        <f t="shared" si="24"/>
        <v>13220</v>
      </c>
      <c r="G33" s="7">
        <v>4260</v>
      </c>
      <c r="H33" s="7">
        <v>8960</v>
      </c>
      <c r="I33" s="7">
        <f>IFERROR(VLOOKUP(Table234534568791112151416171819202122232425262728345678910113456789101112[[#This Row],[Date]],'March Expense'!H31:K144,3,0),0)</f>
        <v>2700</v>
      </c>
      <c r="J33" s="7">
        <f>IFERROR(VLOOKUP(Table234534568791112151416171819202122232425262728345678910113456789101112[[#This Row],[Date]],'March Expense'!H31:K144,4,0),0)</f>
        <v>2500</v>
      </c>
      <c r="K33" s="7">
        <f>Table2345345687911121514161718192021222324252627283456789101134567891011126789[[#This Row],[Account Transfer]]-Table2345345687911121514161718192021222324252627283456789101134567891011126789[[#This Row],[Expense Online]]</f>
        <v>0</v>
      </c>
      <c r="L33" s="7">
        <f>Table234534568791112151416171819202122232425262728345678910113456789101112[[#This Row],[Cash]]-Table234534568791112151416171819202122232425262728345678910113456789101112[[#This Row],[Mulbhag]]-Table234534568791112151416171819202122232425262728345678910113456789101112[[#This Row],[Actual Profit]]-Table234534568791112151416171819202122232425262728345678910113456789101112[[#This Row],[Expense]]</f>
        <v>238</v>
      </c>
      <c r="M33" s="7">
        <f>Table2345345687911121514161718192021222324252627283456789101134567891011126789[[#This Row],[Cash]]-Table2345345687911121514161718192021222324252627283456789101134567891011126789[[#This Row],[Expense]]</f>
        <v>0</v>
      </c>
      <c r="O33" s="12" t="s">
        <v>7</v>
      </c>
      <c r="P33" s="9"/>
      <c r="Q33" s="9">
        <f>Q32/3</f>
        <v>13927.699999999999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SUBTOTAL(109,Table234534568791112151416171819202122232425262728345678910113456789101112[Actual Profit])</f>
        <v>110798.99999999999</v>
      </c>
      <c r="C34" s="16">
        <f>SUBTOTAL(109,Table234534568791112151416171819202122232425262728345678910113456789101112[Mulbhag])</f>
        <v>60670.799999999996</v>
      </c>
      <c r="D34" s="16">
        <f>SUBTOTAL(109,Table234534568791112151416171819202122232425262728345678910113456789101112[Profit])</f>
        <v>182012.4</v>
      </c>
      <c r="E34" s="16">
        <f>SUBTOTAL(109,Table234534568791112151416171819202122232425262728345678910113456789101112[Profit])</f>
        <v>182012.4</v>
      </c>
      <c r="F34" s="16">
        <f>SUM(F3:F33)</f>
        <v>561037</v>
      </c>
      <c r="G34" s="16">
        <f>SUBTOTAL(109,Table234534568791112151416171819202122232425262728345678910113456789101112[Profit])</f>
        <v>182012.4</v>
      </c>
      <c r="H34" s="16">
        <f>SUBTOTAL(109,Table234534568791112151416171819202122232425262728345678910113456789101112[Profit])</f>
        <v>182012.4</v>
      </c>
      <c r="I34" s="16">
        <f>SUM(I5:I33)</f>
        <v>92760</v>
      </c>
      <c r="J34" s="16">
        <f>SUBTOTAL(109,Table234534568791112151416171819202122232425262728345678910113456789101112[Expense Online])</f>
        <v>386188</v>
      </c>
      <c r="K34" s="16">
        <f>SUBTOTAL(109,Table234534568791112151416171819202122232425262728345678910113456789101112[Account Balance])</f>
        <v>325788</v>
      </c>
      <c r="L34" s="16">
        <f>SUM(L5:L33)</f>
        <v>-79108.7</v>
      </c>
      <c r="M34" s="16">
        <f>SUBTOTAL(109,Table234534568791112151416171819202122232425262728345678910113456789101112[Actual Balance])</f>
        <v>205873</v>
      </c>
    </row>
    <row r="35" spans="1:22" x14ac:dyDescent="0.35">
      <c r="A35" s="17"/>
      <c r="B35" s="18"/>
      <c r="C35" s="18"/>
      <c r="D35" s="18">
        <f>D34/3</f>
        <v>60670.799999999996</v>
      </c>
      <c r="E35" s="18"/>
      <c r="F35" s="18"/>
      <c r="G35" s="18">
        <f>F34*0.42</f>
        <v>235635.53999999998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10.814046132429768</v>
      </c>
      <c r="E36" s="18"/>
      <c r="F36" s="18"/>
      <c r="G36" s="18">
        <f>G35/3</f>
        <v>78545.179999999993</v>
      </c>
      <c r="H36" s="18"/>
      <c r="I36" s="18"/>
      <c r="J36" s="18"/>
      <c r="K36" s="18"/>
      <c r="L36" s="18"/>
      <c r="M36" s="18"/>
      <c r="O36" s="8">
        <f t="shared" ref="O36:O40" si="35">A24</f>
        <v>45738</v>
      </c>
      <c r="P36" s="11">
        <f>Q36/3</f>
        <v>2261.5</v>
      </c>
      <c r="Q36" s="11">
        <f>S36*0.3</f>
        <v>6784.5</v>
      </c>
      <c r="R36" s="11">
        <f t="shared" ref="R36:R41" si="36">S36-Q36</f>
        <v>15830.5</v>
      </c>
      <c r="S36" s="11">
        <f>T36+U36</f>
        <v>22615</v>
      </c>
      <c r="T36" s="11">
        <f t="shared" ref="T36:T41" si="37">VLOOKUP(O36,$A$1:$J$34,7,0)</f>
        <v>8900</v>
      </c>
      <c r="U36" s="11">
        <f t="shared" ref="U36:U41" si="38">VLOOKUP(O36,$A$1:$J$34,8,0)</f>
        <v>13715</v>
      </c>
      <c r="V36" s="11">
        <f t="shared" ref="V36:V41" si="39">VLOOKUP(O36,$A$1:$J$34,9,0)</f>
        <v>2200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35"/>
        <v>45739</v>
      </c>
      <c r="P37" s="9">
        <f>Q37/3</f>
        <v>657.1</v>
      </c>
      <c r="Q37" s="9">
        <f>S37*0.3</f>
        <v>1971.3</v>
      </c>
      <c r="R37" s="9">
        <f t="shared" si="36"/>
        <v>4599.7</v>
      </c>
      <c r="S37" s="9">
        <f t="shared" ref="S37:S41" si="40">T37+U37</f>
        <v>6571</v>
      </c>
      <c r="T37" s="9">
        <f t="shared" si="37"/>
        <v>3420</v>
      </c>
      <c r="U37" s="9">
        <f t="shared" si="38"/>
        <v>3151</v>
      </c>
      <c r="V37" s="9">
        <f t="shared" si="39"/>
        <v>660</v>
      </c>
    </row>
    <row r="38" spans="1:22" x14ac:dyDescent="0.35">
      <c r="A38" s="20" t="str">
        <f>CONCATENATE(TEXT(O3,"DD-MMM-YYY")," to ",TEXT(O9,"DD-MMM-YYYY"))</f>
        <v>01-Mar-2025 to 07-Mar-2025</v>
      </c>
      <c r="B38" s="11">
        <f>D38-C38</f>
        <v>37190</v>
      </c>
      <c r="C38" s="11">
        <f>D38/3</f>
        <v>18595</v>
      </c>
      <c r="D38" s="11">
        <f>Q10</f>
        <v>55785</v>
      </c>
      <c r="E38" s="11">
        <f t="shared" ref="E38:I38" si="41">R10</f>
        <v>130165</v>
      </c>
      <c r="F38" s="11">
        <f t="shared" si="41"/>
        <v>185950</v>
      </c>
      <c r="G38" s="11">
        <f t="shared" si="41"/>
        <v>48570</v>
      </c>
      <c r="H38" s="11">
        <f t="shared" si="41"/>
        <v>137380</v>
      </c>
      <c r="I38" s="11">
        <f t="shared" si="41"/>
        <v>27085</v>
      </c>
      <c r="J38" s="11"/>
      <c r="K38" s="11"/>
      <c r="L38" s="11"/>
      <c r="M38" s="11"/>
      <c r="O38" s="10">
        <f t="shared" si="35"/>
        <v>45740</v>
      </c>
      <c r="P38" s="11">
        <f t="shared" ref="P38:P41" si="42">Q38/3</f>
        <v>755</v>
      </c>
      <c r="Q38" s="11">
        <f t="shared" ref="Q38:Q41" si="43">S38*0.3</f>
        <v>2265</v>
      </c>
      <c r="R38" s="11">
        <f t="shared" si="36"/>
        <v>5285</v>
      </c>
      <c r="S38" s="11">
        <f t="shared" si="40"/>
        <v>7550</v>
      </c>
      <c r="T38" s="11">
        <f t="shared" si="37"/>
        <v>1400</v>
      </c>
      <c r="U38" s="11">
        <f t="shared" si="38"/>
        <v>6150</v>
      </c>
      <c r="V38" s="11">
        <f t="shared" si="39"/>
        <v>0</v>
      </c>
    </row>
    <row r="39" spans="1:22" x14ac:dyDescent="0.35">
      <c r="A39" s="20" t="str">
        <f>CONCATENATE(TEXT(O14,"DD-MMM-YYY")," to ",TEXT(O20,"DD-MMM-YYYY"))</f>
        <v>08-Mar-2025 to 14-Mar-2025</v>
      </c>
      <c r="B39" s="9">
        <f t="shared" ref="B39:B42" si="44">D39-C39</f>
        <v>22295.799999999996</v>
      </c>
      <c r="C39" s="9">
        <f t="shared" ref="C39:C42" si="45">D39/3</f>
        <v>11147.9</v>
      </c>
      <c r="D39" s="9">
        <f>Q21</f>
        <v>33443.699999999997</v>
      </c>
      <c r="E39" s="9">
        <f t="shared" ref="E39:I39" si="46">R21</f>
        <v>78035.299999999988</v>
      </c>
      <c r="F39" s="9">
        <f t="shared" si="46"/>
        <v>111479</v>
      </c>
      <c r="G39" s="9">
        <f t="shared" si="46"/>
        <v>28920</v>
      </c>
      <c r="H39" s="9">
        <f t="shared" si="46"/>
        <v>82559</v>
      </c>
      <c r="I39" s="9">
        <f t="shared" si="46"/>
        <v>1100</v>
      </c>
      <c r="J39" s="9"/>
      <c r="K39" s="9"/>
      <c r="L39" s="9"/>
      <c r="M39" s="9"/>
      <c r="O39" s="8">
        <f t="shared" si="35"/>
        <v>45741</v>
      </c>
      <c r="P39" s="9">
        <f t="shared" si="42"/>
        <v>585</v>
      </c>
      <c r="Q39" s="9">
        <f t="shared" si="43"/>
        <v>1755</v>
      </c>
      <c r="R39" s="9">
        <f t="shared" si="36"/>
        <v>4095</v>
      </c>
      <c r="S39" s="9">
        <f t="shared" si="40"/>
        <v>5850</v>
      </c>
      <c r="T39" s="9">
        <f t="shared" si="37"/>
        <v>3320</v>
      </c>
      <c r="U39" s="9">
        <f t="shared" si="38"/>
        <v>2530</v>
      </c>
      <c r="V39" s="9">
        <f t="shared" si="39"/>
        <v>0</v>
      </c>
    </row>
    <row r="40" spans="1:22" x14ac:dyDescent="0.35">
      <c r="A40" s="20" t="str">
        <f>CONCATENATE(TEXT(O25,"DD-MMM-YYY")," to ",TEXT(O31,"DD-MMM-YYYY"))</f>
        <v>15-Mar-2025 to 21-Mar-2025</v>
      </c>
      <c r="B40" s="11">
        <f t="shared" si="44"/>
        <v>27855.4</v>
      </c>
      <c r="C40" s="11">
        <f t="shared" si="45"/>
        <v>13927.699999999999</v>
      </c>
      <c r="D40" s="11">
        <f>Q32</f>
        <v>41783.1</v>
      </c>
      <c r="E40" s="11">
        <f t="shared" ref="E40:I40" si="47">R32</f>
        <v>97493.9</v>
      </c>
      <c r="F40" s="11">
        <f t="shared" si="47"/>
        <v>139277</v>
      </c>
      <c r="G40" s="11">
        <f t="shared" si="47"/>
        <v>48205</v>
      </c>
      <c r="H40" s="11">
        <f t="shared" si="47"/>
        <v>91072</v>
      </c>
      <c r="I40" s="11">
        <f t="shared" si="47"/>
        <v>58250</v>
      </c>
      <c r="J40" s="11"/>
      <c r="K40" s="11"/>
      <c r="L40" s="11"/>
      <c r="M40" s="11"/>
      <c r="O40" s="10">
        <f t="shared" si="35"/>
        <v>45742</v>
      </c>
      <c r="P40" s="11">
        <f t="shared" si="42"/>
        <v>1060.0999999999999</v>
      </c>
      <c r="Q40" s="11">
        <f t="shared" si="43"/>
        <v>3180.2999999999997</v>
      </c>
      <c r="R40" s="11">
        <f t="shared" si="36"/>
        <v>7420.7000000000007</v>
      </c>
      <c r="S40" s="11">
        <f t="shared" si="40"/>
        <v>10601</v>
      </c>
      <c r="T40" s="11">
        <f t="shared" si="37"/>
        <v>3350</v>
      </c>
      <c r="U40" s="11">
        <f t="shared" si="38"/>
        <v>7251</v>
      </c>
      <c r="V40" s="11">
        <f t="shared" si="39"/>
        <v>0</v>
      </c>
    </row>
    <row r="41" spans="1:22" x14ac:dyDescent="0.35">
      <c r="A41" s="20" t="str">
        <f>CONCATENATE(TEXT(O36,"DD-MMM-YYY")," to ",TEXT(O41,"DD-MMM-YYYY"))</f>
        <v>22-Mar-2025 to 31-Mar-2025</v>
      </c>
      <c r="B41" s="9">
        <f t="shared" si="44"/>
        <v>13281.399999999998</v>
      </c>
      <c r="C41" s="9">
        <f t="shared" si="45"/>
        <v>6640.7</v>
      </c>
      <c r="D41" s="9">
        <f>Q42</f>
        <v>19922.099999999999</v>
      </c>
      <c r="E41" s="9">
        <f t="shared" ref="E41:I41" si="48">R42</f>
        <v>46484.9</v>
      </c>
      <c r="F41" s="9">
        <f t="shared" si="48"/>
        <v>66407</v>
      </c>
      <c r="G41" s="9">
        <f t="shared" si="48"/>
        <v>24650</v>
      </c>
      <c r="H41" s="9">
        <f t="shared" si="48"/>
        <v>41757</v>
      </c>
      <c r="I41" s="9">
        <f t="shared" si="48"/>
        <v>5560</v>
      </c>
      <c r="J41" s="9"/>
      <c r="K41" s="9"/>
      <c r="L41" s="9"/>
      <c r="M41" s="9"/>
      <c r="O41" s="8">
        <f>A33</f>
        <v>45747</v>
      </c>
      <c r="P41" s="9">
        <f t="shared" si="42"/>
        <v>1322</v>
      </c>
      <c r="Q41" s="9">
        <f t="shared" si="43"/>
        <v>3966</v>
      </c>
      <c r="R41" s="9">
        <f t="shared" si="36"/>
        <v>9254</v>
      </c>
      <c r="S41" s="9">
        <f t="shared" si="40"/>
        <v>13220</v>
      </c>
      <c r="T41" s="9">
        <f t="shared" si="37"/>
        <v>4260</v>
      </c>
      <c r="U41" s="9">
        <f t="shared" si="38"/>
        <v>8960</v>
      </c>
      <c r="V41" s="9">
        <f t="shared" si="39"/>
        <v>2700</v>
      </c>
    </row>
    <row r="42" spans="1:22" x14ac:dyDescent="0.35">
      <c r="A42" s="20" t="str">
        <f>CONCATENATE(TEXT(O3,"DD-MMM-YYY")," to ",TEXT(O41,"DD-MMM-YYYY"))</f>
        <v>01-Mar-2025 to 31-Mar-2025</v>
      </c>
      <c r="B42" s="9">
        <f t="shared" si="44"/>
        <v>100622.6</v>
      </c>
      <c r="C42" s="9">
        <f t="shared" si="45"/>
        <v>50311.299999999996</v>
      </c>
      <c r="D42" s="9">
        <f t="shared" ref="D42:I42" si="49">SUM(D38:D41)</f>
        <v>150933.9</v>
      </c>
      <c r="E42" s="9">
        <f t="shared" si="49"/>
        <v>352179.1</v>
      </c>
      <c r="F42" s="9">
        <f t="shared" si="49"/>
        <v>503113</v>
      </c>
      <c r="G42" s="9">
        <f t="shared" si="49"/>
        <v>150345</v>
      </c>
      <c r="H42" s="9">
        <f t="shared" si="49"/>
        <v>352768</v>
      </c>
      <c r="I42" s="9">
        <f t="shared" si="49"/>
        <v>91995</v>
      </c>
      <c r="J42" s="9"/>
      <c r="K42" s="9"/>
      <c r="L42" s="9"/>
      <c r="M42" s="9"/>
      <c r="O42" s="12" t="s">
        <v>3</v>
      </c>
      <c r="P42" s="12">
        <f t="shared" ref="P42:V42" si="50">SUM(P36:P41)</f>
        <v>6640.7000000000007</v>
      </c>
      <c r="Q42" s="11">
        <f t="shared" si="50"/>
        <v>19922.099999999999</v>
      </c>
      <c r="R42" s="9">
        <f t="shared" si="50"/>
        <v>46484.9</v>
      </c>
      <c r="S42" s="9">
        <f t="shared" si="50"/>
        <v>66407</v>
      </c>
      <c r="T42" s="9">
        <f t="shared" si="50"/>
        <v>24650</v>
      </c>
      <c r="U42" s="9">
        <f t="shared" si="50"/>
        <v>41757</v>
      </c>
      <c r="V42" s="9">
        <f t="shared" si="50"/>
        <v>5560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6640.7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45721</v>
      </c>
      <c r="P47" s="9"/>
      <c r="Q47" s="9">
        <f t="shared" ref="Q47:V47" si="51">SUM(D8:D33)</f>
        <v>131495.10000000003</v>
      </c>
      <c r="R47" s="9">
        <f t="shared" si="51"/>
        <v>306821.89999999997</v>
      </c>
      <c r="S47" s="9">
        <f t="shared" si="51"/>
        <v>438317</v>
      </c>
      <c r="T47" s="9">
        <f t="shared" si="51"/>
        <v>161879</v>
      </c>
      <c r="U47" s="9">
        <f t="shared" si="51"/>
        <v>276438</v>
      </c>
      <c r="V47" s="9">
        <f t="shared" si="51"/>
        <v>90060</v>
      </c>
    </row>
    <row r="48" spans="1:22" x14ac:dyDescent="0.35">
      <c r="O48" s="12" t="s">
        <v>7</v>
      </c>
      <c r="P48" s="11"/>
      <c r="Q48" s="11">
        <f>Q47/3</f>
        <v>43831.700000000012</v>
      </c>
      <c r="R48" s="11"/>
      <c r="S48" s="11"/>
      <c r="T48" s="11"/>
      <c r="U48" s="11"/>
      <c r="V48" s="11"/>
    </row>
  </sheetData>
  <conditionalFormatting sqref="A1:B1 D1:K1">
    <cfRule type="dataBar" priority="17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1">
      <dataBar>
        <cfvo type="min"/>
        <cfvo type="max"/>
        <color rgb="FF638EC6"/>
      </dataBar>
    </cfRule>
  </conditionalFormatting>
  <conditionalFormatting sqref="O24:V24">
    <cfRule type="dataBar" priority="14">
      <dataBar>
        <cfvo type="min"/>
        <cfvo type="max"/>
        <color rgb="FF638EC6"/>
      </dataBar>
    </cfRule>
  </conditionalFormatting>
  <conditionalFormatting sqref="O35:V35">
    <cfRule type="dataBar" priority="13">
      <dataBar>
        <cfvo type="min"/>
        <cfvo type="max"/>
        <color rgb="FF638EC6"/>
      </dataBar>
    </cfRule>
  </conditionalFormatting>
  <conditionalFormatting sqref="O46:V46">
    <cfRule type="dataBar" priority="12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5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DC64-7DCC-4732-81D8-6F4BE9596E2B}">
  <dimension ref="A1:K77"/>
  <sheetViews>
    <sheetView topLeftCell="A56" workbookViewId="0">
      <selection activeCell="B65" sqref="B65"/>
    </sheetView>
  </sheetViews>
  <sheetFormatPr defaultRowHeight="14.5" x14ac:dyDescent="0.35"/>
  <cols>
    <col min="1" max="1" width="23.7265625" bestFit="1" customWidth="1"/>
    <col min="2" max="2" width="8.453125" style="24" bestFit="1" customWidth="1"/>
    <col min="3" max="3" width="10" style="24" bestFit="1" customWidth="1"/>
    <col min="4" max="4" width="8.453125" style="24" bestFit="1" customWidth="1"/>
    <col min="5" max="5" width="27.81640625" bestFit="1" customWidth="1"/>
    <col min="6" max="6" width="14.1796875" bestFit="1" customWidth="1"/>
    <col min="8" max="8" width="23.7265625" style="26" bestFit="1" customWidth="1"/>
    <col min="9" max="11" width="8.453125" bestFit="1" customWidth="1"/>
  </cols>
  <sheetData>
    <row r="1" spans="1:11" ht="43.5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34" t="s">
        <v>44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45717</v>
      </c>
      <c r="B2" s="23">
        <v>2000</v>
      </c>
      <c r="C2" s="23"/>
      <c r="D2" s="23">
        <f>Table2345345687911121514161718192021222324252627283456789101134567891011123[[#This Row],[Cash]]+Table2345345687911121514161718192021222324252627283456789101134567891011123[[#This Row],[Account Transfer]]</f>
        <v>2000</v>
      </c>
      <c r="E2" s="22" t="s">
        <v>17</v>
      </c>
      <c r="F2" s="36" t="s">
        <v>42</v>
      </c>
      <c r="H2" s="26" t="s">
        <v>3</v>
      </c>
      <c r="I2" s="27"/>
      <c r="J2" s="27"/>
      <c r="K2" s="27"/>
    </row>
    <row r="3" spans="1:11" x14ac:dyDescent="0.35">
      <c r="A3" s="35">
        <v>45717</v>
      </c>
      <c r="B3" s="23">
        <v>500</v>
      </c>
      <c r="C3" s="23"/>
      <c r="D3" s="23">
        <f>Table2345345687911121514161718192021222324252627283456789101134567891011123[[#This Row],[Cash]]+Table2345345687911121514161718192021222324252627283456789101134567891011123[[#This Row],[Account Transfer]]</f>
        <v>500</v>
      </c>
      <c r="E3" s="22" t="s">
        <v>18</v>
      </c>
      <c r="F3" s="36" t="s">
        <v>45</v>
      </c>
      <c r="H3" s="26">
        <v>45717</v>
      </c>
      <c r="I3" s="27">
        <v>2951</v>
      </c>
      <c r="J3" s="27">
        <v>2500</v>
      </c>
      <c r="K3" s="27">
        <v>451</v>
      </c>
    </row>
    <row r="4" spans="1:11" x14ac:dyDescent="0.35">
      <c r="A4" s="35">
        <v>45717</v>
      </c>
      <c r="B4" s="23"/>
      <c r="C4" s="23">
        <v>451</v>
      </c>
      <c r="D4" s="23">
        <f>Table2345345687911121514161718192021222324252627283456789101134567891011123[[#This Row],[Cash]]+Table2345345687911121514161718192021222324252627283456789101134567891011123[[#This Row],[Account Transfer]]</f>
        <v>451</v>
      </c>
      <c r="E4" s="22" t="s">
        <v>19</v>
      </c>
      <c r="F4" s="36" t="s">
        <v>46</v>
      </c>
      <c r="H4" s="26">
        <v>45718</v>
      </c>
      <c r="I4" s="27">
        <v>885</v>
      </c>
      <c r="J4" s="27">
        <v>885</v>
      </c>
      <c r="K4" s="27"/>
    </row>
    <row r="5" spans="1:11" x14ac:dyDescent="0.35">
      <c r="A5" s="35">
        <v>45718</v>
      </c>
      <c r="B5" s="23">
        <v>820</v>
      </c>
      <c r="C5" s="23"/>
      <c r="D5" s="23">
        <f>Table2345345687911121514161718192021222324252627283456789101134567891011123[[#This Row],[Cash]]+Table2345345687911121514161718192021222324252627283456789101134567891011123[[#This Row],[Account Transfer]]</f>
        <v>820</v>
      </c>
      <c r="E5" s="22" t="s">
        <v>20</v>
      </c>
      <c r="F5" s="36" t="s">
        <v>42</v>
      </c>
      <c r="H5" s="26">
        <v>45719</v>
      </c>
      <c r="I5" s="27">
        <v>2600</v>
      </c>
      <c r="J5" s="27">
        <v>2600</v>
      </c>
      <c r="K5" s="27"/>
    </row>
    <row r="6" spans="1:11" x14ac:dyDescent="0.35">
      <c r="A6" s="35">
        <v>45718</v>
      </c>
      <c r="B6" s="23">
        <v>65</v>
      </c>
      <c r="C6" s="23"/>
      <c r="D6" s="23">
        <f>Table2345345687911121514161718192021222324252627283456789101134567891011123[[#This Row],[Cash]]+Table2345345687911121514161718192021222324252627283456789101134567891011123[[#This Row],[Account Transfer]]</f>
        <v>65</v>
      </c>
      <c r="E6" s="22" t="s">
        <v>21</v>
      </c>
      <c r="F6" s="36" t="s">
        <v>47</v>
      </c>
      <c r="H6" s="26">
        <v>45720</v>
      </c>
      <c r="I6" s="27">
        <v>1370</v>
      </c>
      <c r="J6" s="27">
        <v>100</v>
      </c>
      <c r="K6" s="27">
        <v>1270</v>
      </c>
    </row>
    <row r="7" spans="1:11" x14ac:dyDescent="0.35">
      <c r="A7" s="35">
        <v>45719</v>
      </c>
      <c r="B7" s="23">
        <v>2500</v>
      </c>
      <c r="C7" s="23"/>
      <c r="D7" s="23">
        <f>Table2345345687911121514161718192021222324252627283456789101134567891011123[[#This Row],[Cash]]+Table2345345687911121514161718192021222324252627283456789101134567891011123[[#This Row],[Account Transfer]]</f>
        <v>2500</v>
      </c>
      <c r="E7" s="22" t="s">
        <v>22</v>
      </c>
      <c r="F7" s="36" t="s">
        <v>46</v>
      </c>
      <c r="H7" s="26">
        <v>45722</v>
      </c>
      <c r="I7" s="27">
        <v>20300</v>
      </c>
      <c r="J7" s="27">
        <v>20300</v>
      </c>
      <c r="K7" s="27"/>
    </row>
    <row r="8" spans="1:11" x14ac:dyDescent="0.35">
      <c r="A8" s="35">
        <v>45719</v>
      </c>
      <c r="B8" s="23">
        <v>100</v>
      </c>
      <c r="C8" s="23"/>
      <c r="D8" s="23">
        <f>Table2345345687911121514161718192021222324252627283456789101134567891011123[[#This Row],[Cash]]+Table2345345687911121514161718192021222324252627283456789101134567891011123[[#This Row],[Account Transfer]]</f>
        <v>100</v>
      </c>
      <c r="E8" s="22" t="s">
        <v>23</v>
      </c>
      <c r="F8" s="36" t="s">
        <v>48</v>
      </c>
      <c r="H8" s="26">
        <v>45723</v>
      </c>
      <c r="I8" s="27">
        <v>1000</v>
      </c>
      <c r="J8" s="27">
        <v>700</v>
      </c>
      <c r="K8" s="27">
        <v>300</v>
      </c>
    </row>
    <row r="9" spans="1:11" x14ac:dyDescent="0.35">
      <c r="A9" s="35">
        <v>45720</v>
      </c>
      <c r="B9" s="23"/>
      <c r="C9" s="23">
        <v>470</v>
      </c>
      <c r="D9" s="23">
        <f>Table2345345687911121514161718192021222324252627283456789101134567891011123[[#This Row],[Cash]]+Table2345345687911121514161718192021222324252627283456789101134567891011123[[#This Row],[Account Transfer]]</f>
        <v>470</v>
      </c>
      <c r="E9" s="22" t="s">
        <v>24</v>
      </c>
      <c r="F9" s="36" t="s">
        <v>49</v>
      </c>
      <c r="H9" s="26">
        <v>45724</v>
      </c>
      <c r="I9" s="27">
        <v>200</v>
      </c>
      <c r="J9" s="27">
        <v>200</v>
      </c>
      <c r="K9" s="27"/>
    </row>
    <row r="10" spans="1:11" x14ac:dyDescent="0.35">
      <c r="A10" s="35">
        <v>45720</v>
      </c>
      <c r="B10" s="23"/>
      <c r="C10" s="23">
        <v>800</v>
      </c>
      <c r="D10" s="23">
        <f>Table2345345687911121514161718192021222324252627283456789101134567891011123[[#This Row],[Cash]]+Table2345345687911121514161718192021222324252627283456789101134567891011123[[#This Row],[Account Transfer]]</f>
        <v>800</v>
      </c>
      <c r="E10" s="22" t="s">
        <v>25</v>
      </c>
      <c r="F10" s="36" t="s">
        <v>48</v>
      </c>
      <c r="H10" s="26">
        <v>45725</v>
      </c>
      <c r="I10" s="27">
        <v>1080</v>
      </c>
      <c r="J10" s="27">
        <v>200</v>
      </c>
      <c r="K10" s="27">
        <v>880</v>
      </c>
    </row>
    <row r="11" spans="1:11" x14ac:dyDescent="0.35">
      <c r="A11" s="35">
        <v>45720</v>
      </c>
      <c r="B11" s="23">
        <v>100</v>
      </c>
      <c r="C11" s="23"/>
      <c r="D11" s="23">
        <f>Table2345345687911121514161718192021222324252627283456789101134567891011123[[#This Row],[Cash]]+Table2345345687911121514161718192021222324252627283456789101134567891011123[[#This Row],[Account Transfer]]</f>
        <v>100</v>
      </c>
      <c r="E11" s="22" t="s">
        <v>26</v>
      </c>
      <c r="F11" s="36" t="s">
        <v>50</v>
      </c>
      <c r="H11" s="26">
        <v>45726</v>
      </c>
      <c r="I11" s="27">
        <v>10000</v>
      </c>
      <c r="J11" s="27"/>
      <c r="K11" s="27">
        <v>10000</v>
      </c>
    </row>
    <row r="12" spans="1:11" x14ac:dyDescent="0.35">
      <c r="A12" s="35">
        <v>45722</v>
      </c>
      <c r="B12" s="23">
        <v>10000</v>
      </c>
      <c r="C12" s="23"/>
      <c r="D12" s="23">
        <f>Table2345345687911121514161718192021222324252627283456789101134567891011123[[#This Row],[Cash]]+Table2345345687911121514161718192021222324252627283456789101134567891011123[[#This Row],[Account Transfer]]</f>
        <v>10000</v>
      </c>
      <c r="E12" s="22" t="s">
        <v>27</v>
      </c>
      <c r="F12" s="36" t="s">
        <v>51</v>
      </c>
      <c r="H12" s="26" t="s">
        <v>72</v>
      </c>
      <c r="I12">
        <v>0</v>
      </c>
    </row>
    <row r="13" spans="1:11" x14ac:dyDescent="0.35">
      <c r="A13" s="35">
        <v>45722</v>
      </c>
      <c r="B13" s="23">
        <v>8000</v>
      </c>
      <c r="C13" s="23"/>
      <c r="D13" s="23">
        <f>Table2345345687911121514161718192021222324252627283456789101134567891011123[[#This Row],[Cash]]+Table2345345687911121514161718192021222324252627283456789101134567891011123[[#This Row],[Account Transfer]]</f>
        <v>8000</v>
      </c>
      <c r="E13" s="22" t="s">
        <v>28</v>
      </c>
      <c r="F13" s="36" t="s">
        <v>51</v>
      </c>
      <c r="H13" s="26">
        <v>45727</v>
      </c>
      <c r="I13">
        <v>700</v>
      </c>
      <c r="J13">
        <v>400</v>
      </c>
      <c r="K13">
        <v>300</v>
      </c>
    </row>
    <row r="14" spans="1:11" x14ac:dyDescent="0.35">
      <c r="A14" s="35">
        <v>45722</v>
      </c>
      <c r="B14" s="23">
        <v>2300</v>
      </c>
      <c r="C14" s="23"/>
      <c r="D14" s="23">
        <f>Table2345345687911121514161718192021222324252627283456789101134567891011123[[#This Row],[Cash]]+Table2345345687911121514161718192021222324252627283456789101134567891011123[[#This Row],[Account Transfer]]</f>
        <v>2300</v>
      </c>
      <c r="E14" s="22" t="s">
        <v>29</v>
      </c>
      <c r="F14" s="36" t="s">
        <v>51</v>
      </c>
      <c r="H14" s="26">
        <v>45728</v>
      </c>
      <c r="I14">
        <v>300</v>
      </c>
      <c r="J14">
        <v>300</v>
      </c>
    </row>
    <row r="15" spans="1:11" x14ac:dyDescent="0.35">
      <c r="A15" s="35">
        <v>45723</v>
      </c>
      <c r="B15" s="23">
        <v>700</v>
      </c>
      <c r="C15" s="23"/>
      <c r="D15" s="23">
        <f>Table2345345687911121514161718192021222324252627283456789101134567891011123[[#This Row],[Cash]]+Table2345345687911121514161718192021222324252627283456789101134567891011123[[#This Row],[Account Transfer]]</f>
        <v>700</v>
      </c>
      <c r="E15" s="22" t="s">
        <v>30</v>
      </c>
      <c r="F15" s="36" t="s">
        <v>46</v>
      </c>
      <c r="H15" s="26">
        <v>45729</v>
      </c>
      <c r="I15">
        <v>1000</v>
      </c>
      <c r="K15">
        <v>1000</v>
      </c>
    </row>
    <row r="16" spans="1:11" x14ac:dyDescent="0.35">
      <c r="A16" s="35">
        <v>45723</v>
      </c>
      <c r="B16" s="23"/>
      <c r="C16" s="23">
        <v>300</v>
      </c>
      <c r="D16" s="23">
        <f>Table2345345687911121514161718192021222324252627283456789101134567891011123[[#This Row],[Cash]]+Table2345345687911121514161718192021222324252627283456789101134567891011123[[#This Row],[Account Transfer]]</f>
        <v>300</v>
      </c>
      <c r="E16" s="22" t="s">
        <v>31</v>
      </c>
      <c r="F16" s="36" t="s">
        <v>51</v>
      </c>
      <c r="H16" s="26">
        <v>45731</v>
      </c>
      <c r="I16">
        <v>20300</v>
      </c>
      <c r="J16">
        <v>300</v>
      </c>
      <c r="K16">
        <v>20000</v>
      </c>
    </row>
    <row r="17" spans="1:11" x14ac:dyDescent="0.35">
      <c r="A17" s="35">
        <v>45724</v>
      </c>
      <c r="B17" s="23">
        <v>200</v>
      </c>
      <c r="C17" s="23"/>
      <c r="D17" s="23">
        <f>Table2345345687911121514161718192021222324252627283456789101134567891011123[[#This Row],[Cash]]+Table2345345687911121514161718192021222324252627283456789101134567891011123[[#This Row],[Account Transfer]]</f>
        <v>200</v>
      </c>
      <c r="E17" s="22" t="s">
        <v>32</v>
      </c>
      <c r="F17" s="36" t="s">
        <v>42</v>
      </c>
      <c r="H17" s="26">
        <v>45732</v>
      </c>
      <c r="I17">
        <v>7800</v>
      </c>
      <c r="J17">
        <v>200</v>
      </c>
      <c r="K17">
        <v>7600</v>
      </c>
    </row>
    <row r="18" spans="1:11" x14ac:dyDescent="0.35">
      <c r="A18" s="35">
        <v>45725</v>
      </c>
      <c r="B18" s="23">
        <v>200</v>
      </c>
      <c r="C18" s="23"/>
      <c r="D18" s="23">
        <f>Table2345345687911121514161718192021222324252627283456789101134567891011123[[#This Row],[Cash]]+Table2345345687911121514161718192021222324252627283456789101134567891011123[[#This Row],[Account Transfer]]</f>
        <v>200</v>
      </c>
      <c r="E18" s="22" t="s">
        <v>26</v>
      </c>
      <c r="F18" s="36" t="s">
        <v>42</v>
      </c>
      <c r="H18" s="26">
        <v>45733</v>
      </c>
      <c r="I18">
        <v>1890</v>
      </c>
      <c r="J18">
        <v>190</v>
      </c>
      <c r="K18">
        <v>1700</v>
      </c>
    </row>
    <row r="19" spans="1:11" x14ac:dyDescent="0.35">
      <c r="A19" s="35">
        <v>45725</v>
      </c>
      <c r="B19" s="23"/>
      <c r="C19" s="23">
        <v>880</v>
      </c>
      <c r="D19" s="23">
        <f>Table2345345687911121514161718192021222324252627283456789101134567891011123[[#This Row],[Cash]]+Table2345345687911121514161718192021222324252627283456789101134567891011123[[#This Row],[Account Transfer]]</f>
        <v>880</v>
      </c>
      <c r="E19" s="22" t="s">
        <v>24</v>
      </c>
      <c r="F19" s="36" t="s">
        <v>49</v>
      </c>
      <c r="H19" s="26">
        <v>45734</v>
      </c>
      <c r="I19">
        <v>4300</v>
      </c>
      <c r="J19">
        <v>4300</v>
      </c>
    </row>
    <row r="20" spans="1:11" x14ac:dyDescent="0.35">
      <c r="A20" s="35">
        <v>45726</v>
      </c>
      <c r="B20" s="23"/>
      <c r="C20" s="23">
        <v>10000</v>
      </c>
      <c r="D20" s="23">
        <f>Table2345345687911121514161718192021222324252627283456789101134567891011123[[#This Row],[Cash]]+Table2345345687911121514161718192021222324252627283456789101134567891011123[[#This Row],[Account Transfer]]</f>
        <v>10000</v>
      </c>
      <c r="E20" s="22" t="s">
        <v>33</v>
      </c>
      <c r="F20" s="36" t="s">
        <v>46</v>
      </c>
      <c r="H20" s="26">
        <v>45735</v>
      </c>
      <c r="I20">
        <v>1660</v>
      </c>
      <c r="J20">
        <v>1660</v>
      </c>
    </row>
    <row r="21" spans="1:11" x14ac:dyDescent="0.35">
      <c r="A21" s="35">
        <v>45727</v>
      </c>
      <c r="B21" s="23">
        <v>400</v>
      </c>
      <c r="C21" s="23"/>
      <c r="D21" s="23">
        <f>Table2345345687911121514161718192021222324252627283456789101134567891011123[[#This Row],[Cash]]+Table2345345687911121514161718192021222324252627283456789101134567891011123[[#This Row],[Account Transfer]]</f>
        <v>400</v>
      </c>
      <c r="E21" s="22" t="s">
        <v>39</v>
      </c>
      <c r="F21" s="36" t="s">
        <v>42</v>
      </c>
      <c r="H21" s="26">
        <v>45736</v>
      </c>
      <c r="I21">
        <v>80100</v>
      </c>
      <c r="J21">
        <v>100</v>
      </c>
      <c r="K21">
        <v>80000</v>
      </c>
    </row>
    <row r="22" spans="1:11" x14ac:dyDescent="0.35">
      <c r="A22" s="35">
        <v>45727</v>
      </c>
      <c r="B22" s="23"/>
      <c r="C22" s="23">
        <v>300</v>
      </c>
      <c r="D22" s="23">
        <f>Table2345345687911121514161718192021222324252627283456789101134567891011123[[#This Row],[Cash]]+Table2345345687911121514161718192021222324252627283456789101134567891011123[[#This Row],[Account Transfer]]</f>
        <v>300</v>
      </c>
      <c r="E22" s="22" t="s">
        <v>40</v>
      </c>
      <c r="F22" s="36" t="s">
        <v>51</v>
      </c>
      <c r="H22" s="26">
        <v>45737</v>
      </c>
      <c r="I22">
        <v>68500</v>
      </c>
      <c r="J22">
        <v>51500</v>
      </c>
      <c r="K22">
        <v>17000</v>
      </c>
    </row>
    <row r="23" spans="1:11" x14ac:dyDescent="0.35">
      <c r="A23" s="35">
        <v>45728</v>
      </c>
      <c r="B23" s="23">
        <v>300</v>
      </c>
      <c r="C23" s="23"/>
      <c r="D23" s="23">
        <f>Table2345345687911121514161718192021222324252627283456789101134567891011123[[#This Row],[Cash]]+Table2345345687911121514161718192021222324252627283456789101134567891011123[[#This Row],[Account Transfer]]</f>
        <v>300</v>
      </c>
      <c r="E23" s="22" t="s">
        <v>41</v>
      </c>
      <c r="F23" s="36" t="s">
        <v>42</v>
      </c>
      <c r="H23" s="26">
        <v>45738</v>
      </c>
      <c r="I23">
        <v>3800</v>
      </c>
      <c r="J23">
        <v>2200</v>
      </c>
      <c r="K23">
        <v>1600</v>
      </c>
    </row>
    <row r="24" spans="1:11" x14ac:dyDescent="0.35">
      <c r="A24" s="35">
        <v>45729</v>
      </c>
      <c r="B24" s="23"/>
      <c r="C24" s="23">
        <v>1000</v>
      </c>
      <c r="D24" s="23">
        <f>Table2345345687911121514161718192021222324252627283456789101134567891011123[[#This Row],[Cash]]+Table2345345687911121514161718192021222324252627283456789101134567891011123[[#This Row],[Account Transfer]]</f>
        <v>1000</v>
      </c>
      <c r="E24" s="22" t="s">
        <v>52</v>
      </c>
      <c r="F24" s="36" t="s">
        <v>42</v>
      </c>
      <c r="H24" s="26">
        <v>45739</v>
      </c>
      <c r="I24">
        <v>660</v>
      </c>
      <c r="J24">
        <v>660</v>
      </c>
    </row>
    <row r="25" spans="1:11" x14ac:dyDescent="0.35">
      <c r="A25" s="35">
        <v>45731</v>
      </c>
      <c r="B25" s="23">
        <v>300</v>
      </c>
      <c r="C25" s="23"/>
      <c r="D25" s="23">
        <f>Table2345345687911121514161718192021222324252627283456789101134567891011123[[#This Row],[Cash]]+Table2345345687911121514161718192021222324252627283456789101134567891011123[[#This Row],[Account Transfer]]</f>
        <v>300</v>
      </c>
      <c r="E25" s="22" t="s">
        <v>42</v>
      </c>
      <c r="F25" s="36" t="s">
        <v>42</v>
      </c>
      <c r="H25" s="26">
        <v>45740</v>
      </c>
      <c r="I25">
        <v>2467</v>
      </c>
      <c r="K25">
        <v>2467</v>
      </c>
    </row>
    <row r="26" spans="1:11" x14ac:dyDescent="0.35">
      <c r="A26" s="35">
        <v>45731</v>
      </c>
      <c r="B26" s="23"/>
      <c r="C26" s="23">
        <v>20000</v>
      </c>
      <c r="D26" s="23">
        <f>Table2345345687911121514161718192021222324252627283456789101134567891011123[[#This Row],[Cash]]+Table2345345687911121514161718192021222324252627283456789101134567891011123[[#This Row],[Account Transfer]]</f>
        <v>20000</v>
      </c>
      <c r="E26" s="22" t="s">
        <v>43</v>
      </c>
      <c r="F26" s="36" t="s">
        <v>45</v>
      </c>
      <c r="H26" s="26">
        <v>45741</v>
      </c>
      <c r="I26">
        <v>21500</v>
      </c>
      <c r="K26">
        <v>21500</v>
      </c>
    </row>
    <row r="27" spans="1:11" x14ac:dyDescent="0.35">
      <c r="A27" s="35">
        <v>45732</v>
      </c>
      <c r="B27" s="23"/>
      <c r="C27" s="23">
        <v>7600</v>
      </c>
      <c r="D27" s="23">
        <f>Table2345345687911121514161718192021222324252627283456789101134567891011123[[#This Row],[Cash]]+Table2345345687911121514161718192021222324252627283456789101134567891011123[[#This Row],[Account Transfer]]</f>
        <v>7600</v>
      </c>
      <c r="E27" s="22" t="s">
        <v>43</v>
      </c>
      <c r="F27" s="36" t="s">
        <v>45</v>
      </c>
      <c r="H27" s="26">
        <v>45742</v>
      </c>
      <c r="I27">
        <v>96047</v>
      </c>
      <c r="K27">
        <v>96047</v>
      </c>
    </row>
    <row r="28" spans="1:11" x14ac:dyDescent="0.35">
      <c r="A28" s="35">
        <v>45732</v>
      </c>
      <c r="B28" s="23">
        <v>200</v>
      </c>
      <c r="C28" s="23"/>
      <c r="D28" s="23">
        <f>Table2345345687911121514161718192021222324252627283456789101134567891011123[[#This Row],[Cash]]+Table2345345687911121514161718192021222324252627283456789101134567891011123[[#This Row],[Account Transfer]]</f>
        <v>200</v>
      </c>
      <c r="E28" s="22" t="s">
        <v>66</v>
      </c>
      <c r="F28" s="36" t="s">
        <v>42</v>
      </c>
      <c r="H28" s="26">
        <v>45744</v>
      </c>
      <c r="I28">
        <v>120073</v>
      </c>
      <c r="K28">
        <v>120073</v>
      </c>
    </row>
    <row r="29" spans="1:11" x14ac:dyDescent="0.35">
      <c r="A29" s="35">
        <v>45733</v>
      </c>
      <c r="B29" s="23"/>
      <c r="C29" s="23">
        <v>1500</v>
      </c>
      <c r="D29" s="23">
        <f>Table2345345687911121514161718192021222324252627283456789101134567891011123[[#This Row],[Cash]]+Table2345345687911121514161718192021222324252627283456789101134567891011123[[#This Row],[Account Transfer]]</f>
        <v>1500</v>
      </c>
      <c r="E29" s="22" t="s">
        <v>67</v>
      </c>
      <c r="F29" s="36" t="s">
        <v>48</v>
      </c>
      <c r="H29" s="26">
        <v>45745</v>
      </c>
      <c r="I29">
        <v>1300</v>
      </c>
      <c r="J29">
        <v>1300</v>
      </c>
    </row>
    <row r="30" spans="1:11" x14ac:dyDescent="0.35">
      <c r="A30" s="35">
        <v>45733</v>
      </c>
      <c r="B30" s="23">
        <v>100</v>
      </c>
      <c r="C30" s="23"/>
      <c r="D30" s="23">
        <f>Table2345345687911121514161718192021222324252627283456789101134567891011123[[#This Row],[Cash]]+Table2345345687911121514161718192021222324252627283456789101134567891011123[[#This Row],[Account Transfer]]</f>
        <v>100</v>
      </c>
      <c r="E30" s="22" t="s">
        <v>26</v>
      </c>
      <c r="F30" s="36" t="s">
        <v>42</v>
      </c>
      <c r="H30" s="26">
        <v>45746</v>
      </c>
      <c r="I30">
        <v>4350</v>
      </c>
      <c r="J30">
        <v>2850</v>
      </c>
      <c r="K30">
        <v>1500</v>
      </c>
    </row>
    <row r="31" spans="1:11" x14ac:dyDescent="0.35">
      <c r="A31" s="35">
        <v>45733</v>
      </c>
      <c r="B31" s="23">
        <v>90</v>
      </c>
      <c r="C31" s="23"/>
      <c r="D31" s="23">
        <f>Table2345345687911121514161718192021222324252627283456789101134567891011123[[#This Row],[Cash]]+Table2345345687911121514161718192021222324252627283456789101134567891011123[[#This Row],[Account Transfer]]</f>
        <v>90</v>
      </c>
      <c r="E31" s="22" t="s">
        <v>68</v>
      </c>
      <c r="F31" s="36" t="s">
        <v>48</v>
      </c>
      <c r="H31" s="26">
        <v>45747</v>
      </c>
      <c r="I31">
        <v>5200</v>
      </c>
      <c r="J31">
        <v>2700</v>
      </c>
      <c r="K31">
        <v>2500</v>
      </c>
    </row>
    <row r="32" spans="1:11" x14ac:dyDescent="0.35">
      <c r="A32" s="35">
        <v>45733</v>
      </c>
      <c r="B32" s="23"/>
      <c r="C32" s="23">
        <v>200</v>
      </c>
      <c r="D32" s="23">
        <f>Table2345345687911121514161718192021222324252627283456789101134567891011123[[#This Row],[Cash]]+Table2345345687911121514161718192021222324252627283456789101134567891011123[[#This Row],[Account Transfer]]</f>
        <v>200</v>
      </c>
      <c r="E32" s="22" t="s">
        <v>71</v>
      </c>
      <c r="F32" s="36" t="s">
        <v>51</v>
      </c>
      <c r="H32" s="26" t="s">
        <v>35</v>
      </c>
      <c r="I32">
        <v>482333</v>
      </c>
      <c r="J32">
        <v>96145</v>
      </c>
      <c r="K32">
        <v>386188</v>
      </c>
    </row>
    <row r="33" spans="1:6" x14ac:dyDescent="0.35">
      <c r="A33" s="35">
        <v>45734</v>
      </c>
      <c r="B33" s="23">
        <v>1000</v>
      </c>
      <c r="C33" s="23"/>
      <c r="D33" s="23">
        <f>Table2345345687911121514161718192021222324252627283456789101134567891011123[[#This Row],[Cash]]+Table2345345687911121514161718192021222324252627283456789101134567891011123[[#This Row],[Account Transfer]]</f>
        <v>1000</v>
      </c>
      <c r="E33" s="22" t="s">
        <v>69</v>
      </c>
      <c r="F33" s="36" t="s">
        <v>48</v>
      </c>
    </row>
    <row r="34" spans="1:6" x14ac:dyDescent="0.35">
      <c r="A34" s="35">
        <v>45734</v>
      </c>
      <c r="B34" s="23">
        <v>3300</v>
      </c>
      <c r="C34" s="23"/>
      <c r="D34" s="23">
        <f>Table2345345687911121514161718192021222324252627283456789101134567891011123[[#This Row],[Cash]]+Table2345345687911121514161718192021222324252627283456789101134567891011123[[#This Row],[Account Transfer]]</f>
        <v>3300</v>
      </c>
      <c r="E34" s="22" t="s">
        <v>70</v>
      </c>
      <c r="F34" s="36" t="s">
        <v>45</v>
      </c>
    </row>
    <row r="35" spans="1:6" x14ac:dyDescent="0.35">
      <c r="A35" s="35">
        <v>45735</v>
      </c>
      <c r="B35" s="23">
        <v>400</v>
      </c>
      <c r="C35" s="23"/>
      <c r="D35" s="23">
        <f>Table2345345687911121514161718192021222324252627283456789101134567891011123[[#This Row],[Cash]]+Table2345345687911121514161718192021222324252627283456789101134567891011123[[#This Row],[Account Transfer]]</f>
        <v>400</v>
      </c>
      <c r="E35" s="22" t="s">
        <v>73</v>
      </c>
      <c r="F35" s="36" t="s">
        <v>74</v>
      </c>
    </row>
    <row r="36" spans="1:6" x14ac:dyDescent="0.35">
      <c r="A36" s="35">
        <v>45735</v>
      </c>
      <c r="B36" s="23">
        <v>260</v>
      </c>
      <c r="C36" s="23"/>
      <c r="D36" s="23">
        <f>Table2345345687911121514161718192021222324252627283456789101134567891011123[[#This Row],[Cash]]+Table2345345687911121514161718192021222324252627283456789101134567891011123[[#This Row],[Account Transfer]]</f>
        <v>260</v>
      </c>
      <c r="E36" s="22" t="s">
        <v>26</v>
      </c>
      <c r="F36" s="36" t="s">
        <v>42</v>
      </c>
    </row>
    <row r="37" spans="1:6" x14ac:dyDescent="0.35">
      <c r="A37" s="35">
        <v>45735</v>
      </c>
      <c r="B37" s="23">
        <v>1000</v>
      </c>
      <c r="C37" s="23"/>
      <c r="D37" s="23">
        <f>Table2345345687911121514161718192021222324252627283456789101134567891011123[[#This Row],[Cash]]+Table2345345687911121514161718192021222324252627283456789101134567891011123[[#This Row],[Account Transfer]]</f>
        <v>1000</v>
      </c>
      <c r="E37" s="22" t="s">
        <v>69</v>
      </c>
      <c r="F37" s="36" t="s">
        <v>48</v>
      </c>
    </row>
    <row r="38" spans="1:6" x14ac:dyDescent="0.35">
      <c r="A38" s="35">
        <v>45736</v>
      </c>
      <c r="B38" s="23">
        <v>100</v>
      </c>
      <c r="C38" s="23"/>
      <c r="D38" s="23">
        <f>Table2345345687911121514161718192021222324252627283456789101134567891011123[[#This Row],[Cash]]+Table2345345687911121514161718192021222324252627283456789101134567891011123[[#This Row],[Account Transfer]]</f>
        <v>100</v>
      </c>
      <c r="E38" s="22" t="s">
        <v>26</v>
      </c>
      <c r="F38" s="36" t="s">
        <v>42</v>
      </c>
    </row>
    <row r="39" spans="1:6" x14ac:dyDescent="0.35">
      <c r="A39" s="35">
        <v>45736</v>
      </c>
      <c r="B39" s="23"/>
      <c r="C39" s="23">
        <v>60000</v>
      </c>
      <c r="D39" s="23">
        <f>Table2345345687911121514161718192021222324252627283456789101134567891011123[[#This Row],[Cash]]+Table2345345687911121514161718192021222324252627283456789101134567891011123[[#This Row],[Account Transfer]]</f>
        <v>60000</v>
      </c>
      <c r="E39" s="22" t="s">
        <v>75</v>
      </c>
      <c r="F39" s="36" t="s">
        <v>48</v>
      </c>
    </row>
    <row r="40" spans="1:6" x14ac:dyDescent="0.35">
      <c r="A40" s="35">
        <v>45736</v>
      </c>
      <c r="B40" s="23"/>
      <c r="C40" s="23">
        <v>20000</v>
      </c>
      <c r="D40" s="23">
        <f>Table2345345687911121514161718192021222324252627283456789101134567891011123[[#This Row],[Cash]]+Table2345345687911121514161718192021222324252627283456789101134567891011123[[#This Row],[Account Transfer]]</f>
        <v>20000</v>
      </c>
      <c r="E40" s="22" t="s">
        <v>76</v>
      </c>
      <c r="F40" s="36" t="s">
        <v>77</v>
      </c>
    </row>
    <row r="41" spans="1:6" x14ac:dyDescent="0.35">
      <c r="A41" s="35">
        <v>45737</v>
      </c>
      <c r="B41" s="23">
        <v>1500</v>
      </c>
      <c r="C41" s="23"/>
      <c r="D41" s="23">
        <f>Table2345345687911121514161718192021222324252627283456789101134567891011123[[#This Row],[Cash]]+Table2345345687911121514161718192021222324252627283456789101134567891011123[[#This Row],[Account Transfer]]</f>
        <v>1500</v>
      </c>
      <c r="E41" s="22" t="s">
        <v>78</v>
      </c>
      <c r="F41" s="36" t="s">
        <v>74</v>
      </c>
    </row>
    <row r="42" spans="1:6" x14ac:dyDescent="0.35">
      <c r="A42" s="35">
        <v>45737</v>
      </c>
      <c r="B42" s="23">
        <v>50000</v>
      </c>
      <c r="C42" s="23"/>
      <c r="D42" s="23">
        <f>Table2345345687911121514161718192021222324252627283456789101134567891011123[[#This Row],[Cash]]+Table2345345687911121514161718192021222324252627283456789101134567891011123[[#This Row],[Account Transfer]]</f>
        <v>50000</v>
      </c>
      <c r="E42" s="22" t="s">
        <v>75</v>
      </c>
      <c r="F42" s="36" t="s">
        <v>48</v>
      </c>
    </row>
    <row r="43" spans="1:6" x14ac:dyDescent="0.35">
      <c r="A43" s="35">
        <v>45737</v>
      </c>
      <c r="B43" s="23"/>
      <c r="C43" s="23">
        <v>10000</v>
      </c>
      <c r="D43" s="23">
        <f>Table2345345687911121514161718192021222324252627283456789101134567891011123[[#This Row],[Cash]]+Table2345345687911121514161718192021222324252627283456789101134567891011123[[#This Row],[Account Transfer]]</f>
        <v>10000</v>
      </c>
      <c r="E43" s="22" t="s">
        <v>33</v>
      </c>
      <c r="F43" s="36" t="s">
        <v>45</v>
      </c>
    </row>
    <row r="44" spans="1:6" x14ac:dyDescent="0.35">
      <c r="A44" s="35">
        <v>45737</v>
      </c>
      <c r="B44" s="23"/>
      <c r="C44" s="23">
        <v>7000</v>
      </c>
      <c r="D44" s="23">
        <f>Table2345345687911121514161718192021222324252627283456789101134567891011123[[#This Row],[Cash]]+Table2345345687911121514161718192021222324252627283456789101134567891011123[[#This Row],[Account Transfer]]</f>
        <v>7000</v>
      </c>
      <c r="E44" s="22" t="s">
        <v>79</v>
      </c>
      <c r="F44" s="36" t="s">
        <v>45</v>
      </c>
    </row>
    <row r="45" spans="1:6" x14ac:dyDescent="0.35">
      <c r="A45" s="35">
        <v>45738</v>
      </c>
      <c r="B45" s="23">
        <v>1000</v>
      </c>
      <c r="C45" s="23"/>
      <c r="D45" s="23">
        <f>Table2345345687911121514161718192021222324252627283456789101134567891011123[[#This Row],[Cash]]+Table2345345687911121514161718192021222324252627283456789101134567891011123[[#This Row],[Account Transfer]]</f>
        <v>1000</v>
      </c>
      <c r="E45" s="22" t="s">
        <v>69</v>
      </c>
      <c r="F45" s="36" t="s">
        <v>48</v>
      </c>
    </row>
    <row r="46" spans="1:6" x14ac:dyDescent="0.35">
      <c r="A46" s="35">
        <v>45738</v>
      </c>
      <c r="B46" s="23">
        <v>200</v>
      </c>
      <c r="C46" s="23"/>
      <c r="D46" s="23">
        <f>Table2345345687911121514161718192021222324252627283456789101134567891011123[[#This Row],[Cash]]+Table2345345687911121514161718192021222324252627283456789101134567891011123[[#This Row],[Account Transfer]]</f>
        <v>200</v>
      </c>
      <c r="E46" s="22" t="s">
        <v>87</v>
      </c>
      <c r="F46" s="36" t="s">
        <v>48</v>
      </c>
    </row>
    <row r="47" spans="1:6" x14ac:dyDescent="0.35">
      <c r="A47" s="35">
        <v>45738</v>
      </c>
      <c r="B47" s="23">
        <v>1000</v>
      </c>
      <c r="C47" s="23"/>
      <c r="D47" s="23">
        <f>Table2345345687911121514161718192021222324252627283456789101134567891011123[[#This Row],[Cash]]+Table2345345687911121514161718192021222324252627283456789101134567891011123[[#This Row],[Account Transfer]]</f>
        <v>1000</v>
      </c>
      <c r="E47" s="22" t="s">
        <v>88</v>
      </c>
      <c r="F47" s="36" t="s">
        <v>48</v>
      </c>
    </row>
    <row r="48" spans="1:6" x14ac:dyDescent="0.35">
      <c r="A48" s="35">
        <v>45738</v>
      </c>
      <c r="B48" s="23"/>
      <c r="C48" s="23">
        <v>100</v>
      </c>
      <c r="D48" s="23">
        <f>Table2345345687911121514161718192021222324252627283456789101134567891011123[[#This Row],[Cash]]+Table2345345687911121514161718192021222324252627283456789101134567891011123[[#This Row],[Account Transfer]]</f>
        <v>100</v>
      </c>
      <c r="E48" s="22" t="s">
        <v>19</v>
      </c>
      <c r="F48" s="36" t="s">
        <v>48</v>
      </c>
    </row>
    <row r="49" spans="1:6" x14ac:dyDescent="0.35">
      <c r="A49" s="35">
        <v>45738</v>
      </c>
      <c r="B49" s="23"/>
      <c r="C49" s="23">
        <v>1500</v>
      </c>
      <c r="D49" s="23">
        <f>Table2345345687911121514161718192021222324252627283456789101134567891011123[[#This Row],[Cash]]+Table2345345687911121514161718192021222324252627283456789101134567891011123[[#This Row],[Account Transfer]]</f>
        <v>1500</v>
      </c>
      <c r="E49" s="22" t="s">
        <v>89</v>
      </c>
      <c r="F49" s="36" t="s">
        <v>48</v>
      </c>
    </row>
    <row r="50" spans="1:6" x14ac:dyDescent="0.35">
      <c r="A50" s="35">
        <v>45739</v>
      </c>
      <c r="B50" s="23">
        <v>400</v>
      </c>
      <c r="C50" s="23"/>
      <c r="D50" s="23">
        <f>Table2345345687911121514161718192021222324252627283456789101134567891011123[[#This Row],[Cash]]+Table2345345687911121514161718192021222324252627283456789101134567891011123[[#This Row],[Account Transfer]]</f>
        <v>400</v>
      </c>
      <c r="E50" s="22" t="s">
        <v>26</v>
      </c>
      <c r="F50" s="36" t="s">
        <v>48</v>
      </c>
    </row>
    <row r="51" spans="1:6" x14ac:dyDescent="0.35">
      <c r="A51" s="35">
        <v>45739</v>
      </c>
      <c r="B51" s="23">
        <v>260</v>
      </c>
      <c r="C51" s="23"/>
      <c r="D51" s="23">
        <f>Table2345345687911121514161718192021222324252627283456789101134567891011123[[#This Row],[Cash]]+Table2345345687911121514161718192021222324252627283456789101134567891011123[[#This Row],[Account Transfer]]</f>
        <v>260</v>
      </c>
      <c r="E51" s="22" t="s">
        <v>73</v>
      </c>
      <c r="F51" s="36" t="s">
        <v>48</v>
      </c>
    </row>
    <row r="52" spans="1:6" x14ac:dyDescent="0.35">
      <c r="A52" s="35">
        <v>45740</v>
      </c>
      <c r="B52" s="23"/>
      <c r="C52" s="23">
        <v>2467</v>
      </c>
      <c r="D52" s="23">
        <f>Table2345345687911121514161718192021222324252627283456789101134567891011123[[#This Row],[Cash]]+Table2345345687911121514161718192021222324252627283456789101134567891011123[[#This Row],[Account Transfer]]</f>
        <v>2467</v>
      </c>
      <c r="E52" s="22" t="s">
        <v>23</v>
      </c>
      <c r="F52" s="36" t="s">
        <v>48</v>
      </c>
    </row>
    <row r="53" spans="1:6" x14ac:dyDescent="0.35">
      <c r="A53" s="35">
        <v>45741</v>
      </c>
      <c r="B53" s="23"/>
      <c r="C53" s="23">
        <v>5500</v>
      </c>
      <c r="D53" s="23">
        <f>Table2345345687911121514161718192021222324252627283456789101134567891011123[[#This Row],[Cash]]+Table2345345687911121514161718192021222324252627283456789101134567891011123[[#This Row],[Account Transfer]]</f>
        <v>5500</v>
      </c>
      <c r="E53" s="22" t="s">
        <v>80</v>
      </c>
      <c r="F53" s="36" t="s">
        <v>51</v>
      </c>
    </row>
    <row r="54" spans="1:6" x14ac:dyDescent="0.35">
      <c r="A54" s="35">
        <v>45741</v>
      </c>
      <c r="B54" s="23"/>
      <c r="C54" s="23">
        <v>6000</v>
      </c>
      <c r="D54" s="23">
        <f>Table2345345687911121514161718192021222324252627283456789101134567891011123[[#This Row],[Cash]]+Table2345345687911121514161718192021222324252627283456789101134567891011123[[#This Row],[Account Transfer]]</f>
        <v>6000</v>
      </c>
      <c r="E54" s="22" t="s">
        <v>81</v>
      </c>
      <c r="F54" s="36" t="s">
        <v>51</v>
      </c>
    </row>
    <row r="55" spans="1:6" x14ac:dyDescent="0.35">
      <c r="A55" s="35">
        <v>45741</v>
      </c>
      <c r="B55" s="23"/>
      <c r="C55" s="23">
        <v>5000</v>
      </c>
      <c r="D55" s="23">
        <f>Table2345345687911121514161718192021222324252627283456789101134567891011123[[#This Row],[Cash]]+Table2345345687911121514161718192021222324252627283456789101134567891011123[[#This Row],[Account Transfer]]</f>
        <v>5000</v>
      </c>
      <c r="E55" s="22" t="s">
        <v>28</v>
      </c>
      <c r="F55" s="36" t="s">
        <v>51</v>
      </c>
    </row>
    <row r="56" spans="1:6" x14ac:dyDescent="0.35">
      <c r="A56" s="35">
        <v>45741</v>
      </c>
      <c r="B56" s="23"/>
      <c r="C56" s="23">
        <v>5000</v>
      </c>
      <c r="D56" s="23">
        <f>Table2345345687911121514161718192021222324252627283456789101134567891011123[[#This Row],[Cash]]+Table2345345687911121514161718192021222324252627283456789101134567891011123[[#This Row],[Account Transfer]]</f>
        <v>5000</v>
      </c>
      <c r="E56" s="22" t="s">
        <v>29</v>
      </c>
      <c r="F56" s="36" t="s">
        <v>51</v>
      </c>
    </row>
    <row r="57" spans="1:6" x14ac:dyDescent="0.35">
      <c r="A57" s="35">
        <v>45742</v>
      </c>
      <c r="B57" s="23"/>
      <c r="C57" s="23">
        <v>96047</v>
      </c>
      <c r="D57" s="23">
        <f>Table2345345687911121514161718192021222324252627283456789101134567891011123[[#This Row],[Cash]]+Table2345345687911121514161718192021222324252627283456789101134567891011123[[#This Row],[Account Transfer]]</f>
        <v>96047</v>
      </c>
      <c r="E57" s="22" t="s">
        <v>82</v>
      </c>
      <c r="F57" s="36" t="s">
        <v>45</v>
      </c>
    </row>
    <row r="58" spans="1:6" x14ac:dyDescent="0.35">
      <c r="A58" s="35">
        <v>45744</v>
      </c>
      <c r="B58" s="23"/>
      <c r="C58" s="23">
        <v>10000</v>
      </c>
      <c r="D58" s="23">
        <f>Table2345345687911121514161718192021222324252627283456789101134567891011123[[#This Row],[Cash]]+Table2345345687911121514161718192021222324252627283456789101134567891011123[[#This Row],[Account Transfer]]</f>
        <v>10000</v>
      </c>
      <c r="E58" s="22" t="s">
        <v>33</v>
      </c>
      <c r="F58" s="36" t="s">
        <v>46</v>
      </c>
    </row>
    <row r="59" spans="1:6" x14ac:dyDescent="0.35">
      <c r="A59" s="35">
        <v>45744</v>
      </c>
      <c r="B59" s="23"/>
      <c r="C59" s="23">
        <v>13500</v>
      </c>
      <c r="D59" s="23">
        <f>Table2345345687911121514161718192021222324252627283456789101134567891011123[[#This Row],[Cash]]+Table2345345687911121514161718192021222324252627283456789101134567891011123[[#This Row],[Account Transfer]]</f>
        <v>13500</v>
      </c>
      <c r="E59" s="22" t="s">
        <v>83</v>
      </c>
      <c r="F59" s="36" t="s">
        <v>45</v>
      </c>
    </row>
    <row r="60" spans="1:6" x14ac:dyDescent="0.35">
      <c r="A60" s="35">
        <v>45744</v>
      </c>
      <c r="B60" s="23"/>
      <c r="C60" s="23">
        <v>11000</v>
      </c>
      <c r="D60" s="23">
        <f>Table2345345687911121514161718192021222324252627283456789101134567891011123[[#This Row],[Cash]]+Table2345345687911121514161718192021222324252627283456789101134567891011123[[#This Row],[Account Transfer]]</f>
        <v>11000</v>
      </c>
      <c r="E60" s="22" t="s">
        <v>84</v>
      </c>
      <c r="F60" s="36" t="s">
        <v>45</v>
      </c>
    </row>
    <row r="61" spans="1:6" x14ac:dyDescent="0.35">
      <c r="A61" s="35">
        <v>45744</v>
      </c>
      <c r="B61" s="23"/>
      <c r="C61" s="23">
        <v>24000</v>
      </c>
      <c r="D61" s="23">
        <f>Table2345345687911121514161718192021222324252627283456789101134567891011123[[#This Row],[Cash]]+Table2345345687911121514161718192021222324252627283456789101134567891011123[[#This Row],[Account Transfer]]</f>
        <v>24000</v>
      </c>
      <c r="E61" s="22" t="s">
        <v>86</v>
      </c>
      <c r="F61" s="36" t="s">
        <v>85</v>
      </c>
    </row>
    <row r="62" spans="1:6" x14ac:dyDescent="0.35">
      <c r="A62" s="35">
        <v>45744</v>
      </c>
      <c r="B62" s="23"/>
      <c r="C62" s="23">
        <v>19673</v>
      </c>
      <c r="D62" s="23">
        <f>Table2345345687911121514161718192021222324252627283456789101134567891011123[[#This Row],[Cash]]+Table2345345687911121514161718192021222324252627283456789101134567891011123[[#This Row],[Account Transfer]]</f>
        <v>19673</v>
      </c>
      <c r="E62" s="22" t="s">
        <v>90</v>
      </c>
      <c r="F62" s="36" t="s">
        <v>85</v>
      </c>
    </row>
    <row r="63" spans="1:6" x14ac:dyDescent="0.35">
      <c r="A63" s="35">
        <v>45744</v>
      </c>
      <c r="B63" s="23"/>
      <c r="C63" s="23">
        <v>7500</v>
      </c>
      <c r="D63" s="23">
        <f>Table2345345687911121514161718192021222324252627283456789101134567891011123[[#This Row],[Cash]]+Table2345345687911121514161718192021222324252627283456789101134567891011123[[#This Row],[Account Transfer]]</f>
        <v>7500</v>
      </c>
      <c r="E63" s="22" t="s">
        <v>91</v>
      </c>
      <c r="F63" s="36" t="s">
        <v>51</v>
      </c>
    </row>
    <row r="64" spans="1:6" x14ac:dyDescent="0.35">
      <c r="A64" s="35">
        <v>45744</v>
      </c>
      <c r="B64" s="23"/>
      <c r="C64" s="23">
        <v>9400</v>
      </c>
      <c r="D64" s="23">
        <f>Table2345345687911121514161718192021222324252627283456789101134567891011123[[#This Row],[Cash]]+Table2345345687911121514161718192021222324252627283456789101134567891011123[[#This Row],[Account Transfer]]</f>
        <v>9400</v>
      </c>
      <c r="E64" s="22" t="s">
        <v>92</v>
      </c>
      <c r="F64" s="36" t="s">
        <v>85</v>
      </c>
    </row>
    <row r="65" spans="1:6" x14ac:dyDescent="0.35">
      <c r="A65" s="35">
        <v>45744</v>
      </c>
      <c r="B65" s="23"/>
      <c r="C65" s="23">
        <v>25000</v>
      </c>
      <c r="D65" s="23">
        <f>Table2345345687911121514161718192021222324252627283456789101134567891011123[[#This Row],[Cash]]+Table2345345687911121514161718192021222324252627283456789101134567891011123[[#This Row],[Account Transfer]]</f>
        <v>25000</v>
      </c>
      <c r="E65" s="22" t="s">
        <v>93</v>
      </c>
      <c r="F65" s="36" t="s">
        <v>85</v>
      </c>
    </row>
    <row r="66" spans="1:6" x14ac:dyDescent="0.35">
      <c r="A66" s="35">
        <v>45745</v>
      </c>
      <c r="B66" s="23">
        <v>100</v>
      </c>
      <c r="C66" s="23"/>
      <c r="D66" s="23">
        <f>Table2345345687911121514161718192021222324252627283456789101134567891011123[[#This Row],[Cash]]+Table2345345687911121514161718192021222324252627283456789101134567891011123[[#This Row],[Account Transfer]]</f>
        <v>100</v>
      </c>
      <c r="E66" s="22" t="s">
        <v>94</v>
      </c>
      <c r="F66" s="36" t="s">
        <v>74</v>
      </c>
    </row>
    <row r="67" spans="1:6" x14ac:dyDescent="0.35">
      <c r="A67" s="35">
        <v>45745</v>
      </c>
      <c r="B67" s="23">
        <v>700</v>
      </c>
      <c r="C67" s="23"/>
      <c r="D67" s="23">
        <f>Table2345345687911121514161718192021222324252627283456789101134567891011123[[#This Row],[Cash]]+Table2345345687911121514161718192021222324252627283456789101134567891011123[[#This Row],[Account Transfer]]</f>
        <v>700</v>
      </c>
      <c r="E67" s="22" t="s">
        <v>88</v>
      </c>
      <c r="F67" s="36" t="s">
        <v>74</v>
      </c>
    </row>
    <row r="68" spans="1:6" x14ac:dyDescent="0.35">
      <c r="A68" s="35">
        <v>45745</v>
      </c>
      <c r="B68" s="23">
        <v>500</v>
      </c>
      <c r="C68" s="23"/>
      <c r="D68" s="23">
        <f>Table2345345687911121514161718192021222324252627283456789101134567891011123[[#This Row],[Cash]]+Table2345345687911121514161718192021222324252627283456789101134567891011123[[#This Row],[Account Transfer]]</f>
        <v>500</v>
      </c>
      <c r="E68" s="22" t="s">
        <v>95</v>
      </c>
      <c r="F68" s="36" t="s">
        <v>74</v>
      </c>
    </row>
    <row r="69" spans="1:6" x14ac:dyDescent="0.35">
      <c r="A69" s="35">
        <v>45746</v>
      </c>
      <c r="B69" s="23">
        <v>450</v>
      </c>
      <c r="C69" s="23"/>
      <c r="D69" s="23">
        <f>Table2345345687911121514161718192021222324252627283456789101134567891011123[[#This Row],[Cash]]+Table2345345687911121514161718192021222324252627283456789101134567891011123[[#This Row],[Account Transfer]]</f>
        <v>450</v>
      </c>
      <c r="E69" s="22" t="s">
        <v>30</v>
      </c>
      <c r="F69" s="36" t="s">
        <v>74</v>
      </c>
    </row>
    <row r="70" spans="1:6" x14ac:dyDescent="0.35">
      <c r="A70" s="35">
        <v>45746</v>
      </c>
      <c r="B70" s="23">
        <v>2400</v>
      </c>
      <c r="C70" s="23"/>
      <c r="D70" s="23">
        <f>Table2345345687911121514161718192021222324252627283456789101134567891011123[[#This Row],[Cash]]+Table2345345687911121514161718192021222324252627283456789101134567891011123[[#This Row],[Account Transfer]]</f>
        <v>2400</v>
      </c>
      <c r="E70" s="22" t="s">
        <v>96</v>
      </c>
      <c r="F70" s="36" t="s">
        <v>48</v>
      </c>
    </row>
    <row r="71" spans="1:6" x14ac:dyDescent="0.35">
      <c r="A71" s="35">
        <v>45746</v>
      </c>
      <c r="B71" s="23"/>
      <c r="C71" s="23">
        <v>1500</v>
      </c>
      <c r="D71" s="23">
        <f>Table2345345687911121514161718192021222324252627283456789101134567891011123[[#This Row],[Cash]]+Table2345345687911121514161718192021222324252627283456789101134567891011123[[#This Row],[Account Transfer]]</f>
        <v>1500</v>
      </c>
      <c r="E71" s="22" t="s">
        <v>97</v>
      </c>
      <c r="F71" s="36" t="s">
        <v>48</v>
      </c>
    </row>
    <row r="72" spans="1:6" x14ac:dyDescent="0.35">
      <c r="A72" s="35">
        <v>45747</v>
      </c>
      <c r="B72" s="23">
        <v>2200</v>
      </c>
      <c r="C72" s="23"/>
      <c r="D72" s="23">
        <f>Table2345345687911121514161718192021222324252627283456789101134567891011123[[#This Row],[Cash]]+Table2345345687911121514161718192021222324252627283456789101134567891011123[[#This Row],[Account Transfer]]</f>
        <v>2200</v>
      </c>
      <c r="E72" s="22" t="s">
        <v>98</v>
      </c>
      <c r="F72" s="36" t="s">
        <v>51</v>
      </c>
    </row>
    <row r="73" spans="1:6" x14ac:dyDescent="0.35">
      <c r="A73" s="35">
        <v>45747</v>
      </c>
      <c r="B73" s="23"/>
      <c r="C73" s="23">
        <v>1500</v>
      </c>
      <c r="D73" s="23">
        <f>Table2345345687911121514161718192021222324252627283456789101134567891011123[[#This Row],[Cash]]+Table2345345687911121514161718192021222324252627283456789101134567891011123[[#This Row],[Account Transfer]]</f>
        <v>1500</v>
      </c>
      <c r="E73" s="22" t="s">
        <v>99</v>
      </c>
      <c r="F73" s="36" t="s">
        <v>48</v>
      </c>
    </row>
    <row r="74" spans="1:6" x14ac:dyDescent="0.35">
      <c r="A74" s="35">
        <v>45747</v>
      </c>
      <c r="B74" s="23">
        <v>500</v>
      </c>
      <c r="C74" s="23"/>
      <c r="D74" s="23">
        <f>Table2345345687911121514161718192021222324252627283456789101134567891011123[[#This Row],[Cash]]+Table2345345687911121514161718192021222324252627283456789101134567891011123[[#This Row],[Account Transfer]]</f>
        <v>500</v>
      </c>
      <c r="E74" s="22" t="s">
        <v>88</v>
      </c>
      <c r="F74" s="36" t="s">
        <v>74</v>
      </c>
    </row>
    <row r="75" spans="1:6" x14ac:dyDescent="0.35">
      <c r="A75" s="35">
        <v>45747</v>
      </c>
      <c r="B75" s="23"/>
      <c r="C75" s="23">
        <v>1000</v>
      </c>
      <c r="D75" s="23">
        <f>Table2345345687911121514161718192021222324252627283456789101134567891011123[[#This Row],[Cash]]+Table2345345687911121514161718192021222324252627283456789101134567891011123[[#This Row],[Account Transfer]]</f>
        <v>1000</v>
      </c>
      <c r="E75" s="22" t="s">
        <v>100</v>
      </c>
      <c r="F75" s="36" t="s">
        <v>51</v>
      </c>
    </row>
    <row r="76" spans="1:6" x14ac:dyDescent="0.35">
      <c r="A76" s="37"/>
      <c r="B76" s="38"/>
      <c r="C76" s="38"/>
      <c r="D76" s="38">
        <f>Table2345345687911121514161718192021222324252627283456789101134567891011123[[#This Row],[Cash]]+Table2345345687911121514161718192021222324252627283456789101134567891011123[[#This Row],[Account Transfer]]</f>
        <v>0</v>
      </c>
      <c r="E76" s="39"/>
      <c r="F76" s="40"/>
    </row>
    <row r="77" spans="1:6" ht="15" thickBot="1" x14ac:dyDescent="0.4">
      <c r="A77" s="15" t="s">
        <v>3</v>
      </c>
      <c r="C77" s="25"/>
      <c r="D77" s="25"/>
      <c r="E77" s="16"/>
      <c r="F77" s="30"/>
    </row>
  </sheetData>
  <conditionalFormatting sqref="A1:F1">
    <cfRule type="dataBar" priority="21">
      <dataBar>
        <cfvo type="min"/>
        <cfvo type="max"/>
        <color rgb="FF638EC6"/>
      </dataBar>
    </cfRule>
  </conditionalFormatting>
  <conditionalFormatting sqref="B1:F1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9A17-A985-4E39-BA27-C7D5BFBE4874}">
  <dimension ref="A1:V48"/>
  <sheetViews>
    <sheetView zoomScale="90" zoomScaleNormal="90" workbookViewId="0">
      <pane ySplit="1" topLeftCell="A22" activePane="bottomLeft" state="frozen"/>
      <selection activeCell="G29" sqref="G29"/>
      <selection pane="bottomLeft" activeCell="C34" sqref="C34"/>
    </sheetView>
  </sheetViews>
  <sheetFormatPr defaultColWidth="26" defaultRowHeight="14.5" x14ac:dyDescent="0.35"/>
  <cols>
    <col min="1" max="1" width="24.269531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Table2345345687911121514161718192021222324252627283456789101134567891011124[[#This Row],[Profit]]-Table2345345687911121514161718192021222324252627283456789101134567891011124[[#This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Table2345345687911121514161718192021222324252627283456789101134567891011124[[#This Row],[Account Transfer]]-Table2345345687911121514161718192021222324252627283456789101134567891011124[[#This Row],[Expense Online]]</f>
        <v>0</v>
      </c>
      <c r="L2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0</v>
      </c>
      <c r="M2" s="7">
        <f>Table2345345687911121514161718192021222324252627283456789101134567891011124[[#This Row],[Cash]]-Table2345345687911121514161718192021222324252627283456789101134567891011124[[#This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45748</v>
      </c>
      <c r="B3" s="7">
        <f>Table2345345687911121514161718192021222324252627283456789101134567891011124[[#This Row],[Profit]]-Table2345345687911121514161718192021222324252627283456789101134567891011124[[#This Row],[Mulbhag]]</f>
        <v>4263</v>
      </c>
      <c r="C3" s="28">
        <f>Table2345345687911121514161718192021222324252627283456789101134567891011124[[#This Row],[Profit]]/3</f>
        <v>2131.5</v>
      </c>
      <c r="D3" s="7">
        <f t="shared" si="0"/>
        <v>6394.5</v>
      </c>
      <c r="E3" s="7">
        <f t="shared" si="1"/>
        <v>14920.5</v>
      </c>
      <c r="F3" s="7">
        <f t="shared" si="2"/>
        <v>21315</v>
      </c>
      <c r="G3" s="7">
        <v>7386</v>
      </c>
      <c r="H3" s="7">
        <v>13929</v>
      </c>
      <c r="I3" s="7">
        <f>IFERROR(VLOOKUP(Table2345345687911121514161718192021222324252627283456789101134567891011124[[#This Row],[Date]],'April Expense'!H1:K251,3,0),0)</f>
        <v>350</v>
      </c>
      <c r="J3" s="7">
        <f>IFERROR(VLOOKUP(Table2345345687911121514161718192021222324252627283456789101134567891011124[[#This Row],[Date]],'April Expense'!H1:K251,4,0),0)</f>
        <v>2400</v>
      </c>
      <c r="K3" s="7">
        <f>Table2345345687911121514161718192021222324252627283456789101134567891011124[[#This Row],[Account Transfer]]-Table2345345687911121514161718192021222324252627283456789101134567891011124[[#This Row],[Expense Online]]</f>
        <v>11529</v>
      </c>
      <c r="L3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641.5</v>
      </c>
      <c r="M3" s="7">
        <f>Table2345345687911121514161718192021222324252627283456789101134567891011124[[#This Row],[Cash]]-Table2345345687911121514161718192021222324252627283456789101134567891011124[[#This Row],[Expense]]</f>
        <v>7036</v>
      </c>
      <c r="N3" s="45"/>
      <c r="O3" s="10">
        <f t="shared" ref="O3:O9" si="3">A3</f>
        <v>45748</v>
      </c>
      <c r="P3" s="11">
        <f>Q3/3</f>
        <v>2131.5</v>
      </c>
      <c r="Q3" s="11">
        <f>S3*0.3</f>
        <v>6394.5</v>
      </c>
      <c r="R3" s="11">
        <f t="shared" ref="R3:R9" si="4">S3-Q3</f>
        <v>14920.5</v>
      </c>
      <c r="S3" s="11">
        <f>T3+U3</f>
        <v>21315</v>
      </c>
      <c r="T3" s="11">
        <f t="shared" ref="T3:T9" si="5">VLOOKUP(O3,$A$1:$J$34,7,0)</f>
        <v>7386</v>
      </c>
      <c r="U3" s="11">
        <f t="shared" ref="U3:U9" si="6">VLOOKUP(O3,$A$1:$J$34,8,0)</f>
        <v>13929</v>
      </c>
      <c r="V3" s="11">
        <f t="shared" ref="V3:V9" si="7">VLOOKUP(O3,$A$1:$J$34,9,0)</f>
        <v>350</v>
      </c>
    </row>
    <row r="4" spans="1:22" x14ac:dyDescent="0.35">
      <c r="A4" s="6">
        <v>45749</v>
      </c>
      <c r="B4" s="7">
        <f>Table2345345687911121514161718192021222324252627283456789101134567891011124[[#This Row],[Profit]]-Table2345345687911121514161718192021222324252627283456789101134567891011124[[#This Row],[Mulbhag]]</f>
        <v>6050</v>
      </c>
      <c r="C4" s="28">
        <f>Table2345345687911121514161718192021222324252627283456789101134567891011124[[#This Row],[Profit]]/3</f>
        <v>3025</v>
      </c>
      <c r="D4" s="7">
        <f t="shared" si="0"/>
        <v>9075</v>
      </c>
      <c r="E4" s="7">
        <f t="shared" si="1"/>
        <v>21175</v>
      </c>
      <c r="F4" s="7">
        <f t="shared" si="2"/>
        <v>30250</v>
      </c>
      <c r="G4" s="7">
        <v>16520</v>
      </c>
      <c r="H4" s="7">
        <v>13730</v>
      </c>
      <c r="I4" s="7">
        <f>IFERROR(VLOOKUP(Table2345345687911121514161718192021222324252627283456789101134567891011124[[#This Row],[Date]],'April Expense'!H2:K252,3,0),0)</f>
        <v>2160</v>
      </c>
      <c r="J4" s="7">
        <f>IFERROR(VLOOKUP(Table2345345687911121514161718192021222324252627283456789101134567891011124[[#This Row],[Date]],'April Expense'!H2:K252,4,0),0)</f>
        <v>0</v>
      </c>
      <c r="K4" s="7">
        <f>Table2345345687911121514161718192021222324252627283456789101134567891011124[[#This Row],[Account Transfer]]-Table2345345687911121514161718192021222324252627283456789101134567891011124[[#This Row],[Expense Online]]</f>
        <v>13730</v>
      </c>
      <c r="L4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Row],[Expense]]+L3</f>
        <v>5926.5</v>
      </c>
      <c r="M4" s="7">
        <f>Table2345345687911121514161718192021222324252627283456789101134567891011124[[#This Row],[Cash]]-Table2345345687911121514161718192021222324252627283456789101134567891011124[[#This Row],[Expense]]</f>
        <v>14360</v>
      </c>
      <c r="N4" s="45"/>
      <c r="O4" s="8">
        <f t="shared" si="3"/>
        <v>45749</v>
      </c>
      <c r="P4" s="9">
        <f>Q4/3</f>
        <v>3025</v>
      </c>
      <c r="Q4" s="9">
        <f>S4*0.3</f>
        <v>9075</v>
      </c>
      <c r="R4" s="9">
        <f t="shared" si="4"/>
        <v>21175</v>
      </c>
      <c r="S4" s="9">
        <f t="shared" ref="S4:S9" si="8">T4+U4</f>
        <v>30250</v>
      </c>
      <c r="T4" s="9">
        <f t="shared" si="5"/>
        <v>16520</v>
      </c>
      <c r="U4" s="9">
        <f t="shared" si="6"/>
        <v>13730</v>
      </c>
      <c r="V4" s="9">
        <f t="shared" si="7"/>
        <v>2160</v>
      </c>
    </row>
    <row r="5" spans="1:22" x14ac:dyDescent="0.35">
      <c r="A5" s="6">
        <v>45750</v>
      </c>
      <c r="B5" s="7">
        <f>Table2345345687911121514161718192021222324252627283456789101134567891011124[[#This Row],[Profit]]-Table2345345687911121514161718192021222324252627283456789101134567891011124[[#This Row],[Mulbhag]]</f>
        <v>3102</v>
      </c>
      <c r="C5" s="28">
        <f>Table2345345687911121514161718192021222324252627283456789101134567891011124[[#This Row],[Profit]]/3</f>
        <v>1551</v>
      </c>
      <c r="D5" s="7">
        <f t="shared" si="0"/>
        <v>4653</v>
      </c>
      <c r="E5" s="7">
        <f t="shared" si="1"/>
        <v>10857</v>
      </c>
      <c r="F5" s="7">
        <f t="shared" si="2"/>
        <v>15510</v>
      </c>
      <c r="G5" s="7">
        <v>2840</v>
      </c>
      <c r="H5" s="7">
        <f>800+11870</f>
        <v>12670</v>
      </c>
      <c r="I5" s="7">
        <f>IFERROR(VLOOKUP(Table2345345687911121514161718192021222324252627283456789101134567891011124[[#This Row],[Date]],'April Expense'!H3:K253,3,0),0)</f>
        <v>270</v>
      </c>
      <c r="J5" s="7">
        <f>IFERROR(VLOOKUP(Table2345345687911121514161718192021222324252627283456789101134567891011124[[#This Row],[Date]],'April Expense'!H3:K253,4,0),0)</f>
        <v>0</v>
      </c>
      <c r="K5" s="7">
        <f>Table2345345687911121514161718192021222324252627283456789101134567891011124[[#This Row],[Account Transfer]]-Table2345345687911121514161718192021222324252627283456789101134567891011124[[#This Row],[Expense Online]]</f>
        <v>12670</v>
      </c>
      <c r="L5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-2083</v>
      </c>
      <c r="M5" s="7">
        <f>Table2345345687911121514161718192021222324252627283456789101134567891011124[[#This Row],[Cash]]-Table2345345687911121514161718192021222324252627283456789101134567891011124[[#This Row],[Expense]]</f>
        <v>2570</v>
      </c>
      <c r="N5" s="45"/>
      <c r="O5" s="10">
        <f t="shared" si="3"/>
        <v>45750</v>
      </c>
      <c r="P5" s="11">
        <f t="shared" ref="P5:P9" si="9">Q5/3</f>
        <v>1551</v>
      </c>
      <c r="Q5" s="11">
        <f t="shared" ref="Q5:Q9" si="10">S5*0.3</f>
        <v>4653</v>
      </c>
      <c r="R5" s="11">
        <f t="shared" si="4"/>
        <v>10857</v>
      </c>
      <c r="S5" s="11">
        <f t="shared" si="8"/>
        <v>15510</v>
      </c>
      <c r="T5" s="11">
        <f t="shared" si="5"/>
        <v>2840</v>
      </c>
      <c r="U5" s="11">
        <f t="shared" si="6"/>
        <v>12670</v>
      </c>
      <c r="V5" s="11">
        <f t="shared" si="7"/>
        <v>270</v>
      </c>
    </row>
    <row r="6" spans="1:22" x14ac:dyDescent="0.35">
      <c r="A6" s="6">
        <v>45751</v>
      </c>
      <c r="B6" s="7">
        <f>Table2345345687911121514161718192021222324252627283456789101134567891011124[[#This Row],[Profit]]-Table2345345687911121514161718192021222324252627283456789101134567891011124[[#This Row],[Mulbhag]]</f>
        <v>2885.5999999999995</v>
      </c>
      <c r="C6" s="28">
        <f>Table2345345687911121514161718192021222324252627283456789101134567891011124[[#This Row],[Profit]]/3</f>
        <v>1442.8</v>
      </c>
      <c r="D6" s="7">
        <f t="shared" si="0"/>
        <v>4328.3999999999996</v>
      </c>
      <c r="E6" s="7">
        <f t="shared" si="1"/>
        <v>10099.6</v>
      </c>
      <c r="F6" s="7">
        <f t="shared" si="2"/>
        <v>14428</v>
      </c>
      <c r="G6" s="7">
        <f>7430+260</f>
        <v>7690</v>
      </c>
      <c r="H6" s="7">
        <v>6738</v>
      </c>
      <c r="I6" s="7">
        <f>IFERROR(VLOOKUP(Table2345345687911121514161718192021222324252627283456789101134567891011124[[#This Row],[Date]],'April Expense'!H4:K254,3,0),0)</f>
        <v>1570</v>
      </c>
      <c r="J6" s="7">
        <f>IFERROR(VLOOKUP(Table2345345687911121514161718192021222324252627283456789101134567891011124[[#This Row],[Date]],'April Expense'!H4:K254,4,0),0)</f>
        <v>300</v>
      </c>
      <c r="K6" s="7">
        <f>Table2345345687911121514161718192021222324252627283456789101134567891011124[[#This Row],[Account Transfer]]-Table2345345687911121514161718192021222324252627283456789101134567891011124[[#This Row],[Expense Online]]</f>
        <v>6438</v>
      </c>
      <c r="L6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1791.6000000000004</v>
      </c>
      <c r="M6" s="7">
        <f>Table2345345687911121514161718192021222324252627283456789101134567891011124[[#This Row],[Cash]]-Table2345345687911121514161718192021222324252627283456789101134567891011124[[#This Row],[Expense]]</f>
        <v>6120</v>
      </c>
      <c r="N6" s="45"/>
      <c r="O6" s="8">
        <f t="shared" si="3"/>
        <v>45751</v>
      </c>
      <c r="P6" s="9">
        <f t="shared" si="9"/>
        <v>1442.8</v>
      </c>
      <c r="Q6" s="9">
        <f t="shared" si="10"/>
        <v>4328.3999999999996</v>
      </c>
      <c r="R6" s="9">
        <f t="shared" si="4"/>
        <v>10099.6</v>
      </c>
      <c r="S6" s="9">
        <f t="shared" si="8"/>
        <v>14428</v>
      </c>
      <c r="T6" s="9">
        <f t="shared" si="5"/>
        <v>7690</v>
      </c>
      <c r="U6" s="9">
        <f t="shared" si="6"/>
        <v>6738</v>
      </c>
      <c r="V6" s="9">
        <f t="shared" si="7"/>
        <v>1570</v>
      </c>
    </row>
    <row r="7" spans="1:22" x14ac:dyDescent="0.35">
      <c r="A7" s="6">
        <v>45752</v>
      </c>
      <c r="B7" s="7">
        <f>Table2345345687911121514161718192021222324252627283456789101134567891011124[[#This Row],[Profit]]-Table2345345687911121514161718192021222324252627283456789101134567891011124[[#This Row],[Mulbhag]]</f>
        <v>2688</v>
      </c>
      <c r="C7" s="28">
        <f>Table2345345687911121514161718192021222324252627283456789101134567891011124[[#This Row],[Profit]]/3</f>
        <v>1344</v>
      </c>
      <c r="D7" s="7">
        <f t="shared" si="0"/>
        <v>4032</v>
      </c>
      <c r="E7" s="7">
        <f t="shared" si="1"/>
        <v>9408</v>
      </c>
      <c r="F7" s="7">
        <f t="shared" si="2"/>
        <v>13440</v>
      </c>
      <c r="G7" s="7">
        <v>6200</v>
      </c>
      <c r="H7" s="7">
        <v>7240</v>
      </c>
      <c r="I7" s="7">
        <f>IFERROR(VLOOKUP(Table2345345687911121514161718192021222324252627283456789101134567891011124[[#This Row],[Date]],'April Expense'!H5:K255,3,0),0)</f>
        <v>1900</v>
      </c>
      <c r="J7" s="7">
        <f>IFERROR(VLOOKUP(Table2345345687911121514161718192021222324252627283456789101134567891011124[[#This Row],[Date]],'April Expense'!H5:K255,4,0),0)</f>
        <v>0</v>
      </c>
      <c r="K7" s="7">
        <f>Table2345345687911121514161718192021222324252627283456789101134567891011124[[#This Row],[Account Transfer]]-Table2345345687911121514161718192021222324252627283456789101134567891011124[[#This Row],[Expense Online]]</f>
        <v>7240</v>
      </c>
      <c r="L7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268</v>
      </c>
      <c r="M7" s="7">
        <f>Table2345345687911121514161718192021222324252627283456789101134567891011124[[#This Row],[Cash]]-Table2345345687911121514161718192021222324252627283456789101134567891011124[[#This Row],[Expense]]</f>
        <v>4300</v>
      </c>
      <c r="N7" s="45"/>
      <c r="O7" s="10">
        <f t="shared" si="3"/>
        <v>45752</v>
      </c>
      <c r="P7" s="11">
        <f t="shared" si="9"/>
        <v>1344</v>
      </c>
      <c r="Q7" s="11">
        <f t="shared" si="10"/>
        <v>4032</v>
      </c>
      <c r="R7" s="11">
        <f t="shared" si="4"/>
        <v>9408</v>
      </c>
      <c r="S7" s="11">
        <f t="shared" si="8"/>
        <v>13440</v>
      </c>
      <c r="T7" s="11">
        <f t="shared" si="5"/>
        <v>6200</v>
      </c>
      <c r="U7" s="11">
        <f t="shared" si="6"/>
        <v>7240</v>
      </c>
      <c r="V7" s="11">
        <f t="shared" si="7"/>
        <v>1900</v>
      </c>
    </row>
    <row r="8" spans="1:22" x14ac:dyDescent="0.35">
      <c r="A8" s="6">
        <v>45753</v>
      </c>
      <c r="B8" s="7">
        <f>Table2345345687911121514161718192021222324252627283456789101134567891011124[[#This Row],[Profit]]-Table2345345687911121514161718192021222324252627283456789101134567891011124[[#This Row],[Mulbhag]]</f>
        <v>2627</v>
      </c>
      <c r="C8" s="28">
        <f>Table2345345687911121514161718192021222324252627283456789101134567891011124[[#This Row],[Profit]]/3</f>
        <v>1313.5</v>
      </c>
      <c r="D8" s="7">
        <f t="shared" si="0"/>
        <v>3940.5</v>
      </c>
      <c r="E8" s="7">
        <f t="shared" si="1"/>
        <v>9194.5</v>
      </c>
      <c r="F8" s="7">
        <f t="shared" si="2"/>
        <v>13135</v>
      </c>
      <c r="G8" s="7">
        <v>7700</v>
      </c>
      <c r="H8" s="7">
        <f>9935-4500</f>
        <v>5435</v>
      </c>
      <c r="I8" s="7">
        <f>IFERROR(VLOOKUP(Table2345345687911121514161718192021222324252627283456789101134567891011124[[#This Row],[Date]],'April Expense'!H6:K256,3,0),0)</f>
        <v>1065</v>
      </c>
      <c r="J8" s="7">
        <f>IFERROR(VLOOKUP(Table2345345687911121514161718192021222324252627283456789101134567891011124[[#This Row],[Date]],'April Expense'!H6:K256,4,0),0)</f>
        <v>1050</v>
      </c>
      <c r="K8" s="7">
        <f>Table2345345687911121514161718192021222324252627283456789101134567891011124[[#This Row],[Account Transfer]]-Table2345345687911121514161718192021222324252627283456789101134567891011124[[#This Row],[Expense Online]]</f>
        <v>4385</v>
      </c>
      <c r="L8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2694.5</v>
      </c>
      <c r="M8" s="7">
        <f>Table2345345687911121514161718192021222324252627283456789101134567891011124[[#This Row],[Cash]]-Table2345345687911121514161718192021222324252627283456789101134567891011124[[#This Row],[Expense]]</f>
        <v>6635</v>
      </c>
      <c r="N8" s="45"/>
      <c r="O8" s="8">
        <f t="shared" si="3"/>
        <v>45753</v>
      </c>
      <c r="P8" s="9">
        <f t="shared" si="9"/>
        <v>1313.5</v>
      </c>
      <c r="Q8" s="9">
        <f t="shared" si="10"/>
        <v>3940.5</v>
      </c>
      <c r="R8" s="9">
        <f t="shared" si="4"/>
        <v>9194.5</v>
      </c>
      <c r="S8" s="9">
        <f t="shared" si="8"/>
        <v>13135</v>
      </c>
      <c r="T8" s="9">
        <f t="shared" si="5"/>
        <v>7700</v>
      </c>
      <c r="U8" s="9">
        <f t="shared" si="6"/>
        <v>5435</v>
      </c>
      <c r="V8" s="9">
        <f t="shared" si="7"/>
        <v>1065</v>
      </c>
    </row>
    <row r="9" spans="1:22" x14ac:dyDescent="0.35">
      <c r="A9" s="6">
        <v>45754</v>
      </c>
      <c r="B9" s="7">
        <f>Table2345345687911121514161718192021222324252627283456789101134567891011124[[#This Row],[Profit]]-Table2345345687911121514161718192021222324252627283456789101134567891011124[[#This Row],[Mulbhag]]</f>
        <v>2872</v>
      </c>
      <c r="C9" s="28">
        <f>Table2345345687911121514161718192021222324252627283456789101134567891011124[[#This Row],[Profit]]/3</f>
        <v>1436</v>
      </c>
      <c r="D9" s="7">
        <f t="shared" si="0"/>
        <v>4308</v>
      </c>
      <c r="E9" s="7">
        <f t="shared" si="1"/>
        <v>10052</v>
      </c>
      <c r="F9" s="7">
        <f t="shared" si="2"/>
        <v>14360</v>
      </c>
      <c r="G9" s="7">
        <v>3060</v>
      </c>
      <c r="H9" s="7">
        <v>11300</v>
      </c>
      <c r="I9" s="7">
        <f>IFERROR(VLOOKUP(Table2345345687911121514161718192021222324252627283456789101134567891011124[[#This Row],[Date]],'April Expense'!H7:K257,3,0),0)</f>
        <v>520</v>
      </c>
      <c r="J9" s="7">
        <f>IFERROR(VLOOKUP(Table2345345687911121514161718192021222324252627283456789101134567891011124[[#This Row],[Date]],'April Expense'!H7:K257,4,0),0)</f>
        <v>0</v>
      </c>
      <c r="K9" s="7">
        <f>Table2345345687911121514161718192021222324252627283456789101134567891011124[[#This Row],[Account Transfer]]-Table2345345687911121514161718192021222324252627283456789101134567891011124[[#This Row],[Expense Online]]</f>
        <v>11300</v>
      </c>
      <c r="L9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-1768</v>
      </c>
      <c r="M9" s="7">
        <f>Table2345345687911121514161718192021222324252627283456789101134567891011124[[#This Row],[Cash]]-Table2345345687911121514161718192021222324252627283456789101134567891011124[[#This Row],[Expense]]</f>
        <v>2540</v>
      </c>
      <c r="N9" s="45"/>
      <c r="O9" s="10">
        <f t="shared" si="3"/>
        <v>45754</v>
      </c>
      <c r="P9" s="11">
        <f t="shared" si="9"/>
        <v>1436</v>
      </c>
      <c r="Q9" s="11">
        <f t="shared" si="10"/>
        <v>4308</v>
      </c>
      <c r="R9" s="11">
        <f t="shared" si="4"/>
        <v>10052</v>
      </c>
      <c r="S9" s="11">
        <f t="shared" si="8"/>
        <v>14360</v>
      </c>
      <c r="T9" s="11">
        <f t="shared" si="5"/>
        <v>3060</v>
      </c>
      <c r="U9" s="11">
        <f t="shared" si="6"/>
        <v>11300</v>
      </c>
      <c r="V9" s="11">
        <f t="shared" si="7"/>
        <v>520</v>
      </c>
    </row>
    <row r="10" spans="1:22" x14ac:dyDescent="0.35">
      <c r="A10" s="6">
        <v>45755</v>
      </c>
      <c r="B10" s="7">
        <f>Table2345345687911121514161718192021222324252627283456789101134567891011124[[#This Row],[Profit]]-Table2345345687911121514161718192021222324252627283456789101134567891011124[[#This Row],[Mulbhag]]</f>
        <v>2154</v>
      </c>
      <c r="C10" s="28">
        <f>Table2345345687911121514161718192021222324252627283456789101134567891011124[[#This Row],[Profit]]/3</f>
        <v>1077</v>
      </c>
      <c r="D10" s="7">
        <f t="shared" si="0"/>
        <v>3231</v>
      </c>
      <c r="E10" s="7">
        <f t="shared" si="1"/>
        <v>7539</v>
      </c>
      <c r="F10" s="7">
        <f t="shared" si="2"/>
        <v>10770</v>
      </c>
      <c r="G10" s="7">
        <v>6160</v>
      </c>
      <c r="H10" s="7">
        <v>4610</v>
      </c>
      <c r="I10" s="7">
        <f>IFERROR(VLOOKUP(Table2345345687911121514161718192021222324252627283456789101134567891011124[[#This Row],[Date]],'April Expense'!H8:K258,3,0),0)</f>
        <v>4880</v>
      </c>
      <c r="J10" s="7">
        <f>IFERROR(VLOOKUP(Table2345345687911121514161718192021222324252627283456789101134567891011124[[#This Row],[Date]],'April Expense'!H8:K258,4,0),0)</f>
        <v>0</v>
      </c>
      <c r="K10" s="7">
        <f>Table2345345687911121514161718192021222324252627283456789101134567891011124[[#This Row],[Account Transfer]]-Table2345345687911121514161718192021222324252627283456789101134567891011124[[#This Row],[Expense Online]]</f>
        <v>4610</v>
      </c>
      <c r="L10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-1951</v>
      </c>
      <c r="M10" s="7">
        <f>Table2345345687911121514161718192021222324252627283456789101134567891011124[[#This Row],[Cash]]-Table2345345687911121514161718192021222324252627283456789101134567891011124[[#This Row],[Expense]]</f>
        <v>1280</v>
      </c>
      <c r="N10" s="45"/>
      <c r="O10" s="12" t="s">
        <v>3</v>
      </c>
      <c r="P10" s="12">
        <f>SUM(P3:P9)</f>
        <v>12243.8</v>
      </c>
      <c r="Q10" s="12">
        <f>SUM(Q3:Q9)</f>
        <v>36731.4</v>
      </c>
      <c r="R10" s="12">
        <f>SUM(R2:R9)</f>
        <v>85706.6</v>
      </c>
      <c r="S10" s="12">
        <f>SUM(S2:S9)</f>
        <v>122438</v>
      </c>
      <c r="T10" s="12">
        <f>SUM(T2:T9)</f>
        <v>51396</v>
      </c>
      <c r="U10" s="12">
        <f>SUM(U2:U9)</f>
        <v>71042</v>
      </c>
      <c r="V10" s="12">
        <f>SUM(V2:V9)</f>
        <v>7835</v>
      </c>
    </row>
    <row r="11" spans="1:22" x14ac:dyDescent="0.35">
      <c r="A11" s="6">
        <v>45756</v>
      </c>
      <c r="B11" s="7">
        <f>Table2345345687911121514161718192021222324252627283456789101134567891011124[[#This Row],[Profit]]-Table2345345687911121514161718192021222324252627283456789101134567891011124[[#This Row],[Mulbhag]]</f>
        <v>5900</v>
      </c>
      <c r="C11" s="28">
        <f>Table2345345687911121514161718192021222324252627283456789101134567891011124[[#This Row],[Profit]]/3</f>
        <v>2950</v>
      </c>
      <c r="D11" s="7">
        <f t="shared" si="0"/>
        <v>8850</v>
      </c>
      <c r="E11" s="7">
        <f t="shared" si="1"/>
        <v>20650</v>
      </c>
      <c r="F11" s="7">
        <f t="shared" si="2"/>
        <v>29500</v>
      </c>
      <c r="G11" s="7">
        <v>28000</v>
      </c>
      <c r="H11" s="7">
        <v>1500</v>
      </c>
      <c r="I11" s="7">
        <f>IFERROR(VLOOKUP(Table2345345687911121514161718192021222324252627283456789101134567891011124[[#This Row],[Date]],'April Expense'!H9:K259,3,0),0)</f>
        <v>250</v>
      </c>
      <c r="J11" s="7">
        <f>IFERROR(VLOOKUP(Table2345345687911121514161718192021222324252627283456789101134567891011124[[#This Row],[Date]],'April Expense'!H9:K259,4,0),0)</f>
        <v>0</v>
      </c>
      <c r="K11" s="7">
        <f>Table2345345687911121514161718192021222324252627283456789101134567891011124[[#This Row],[Account Transfer]]-Table2345345687911121514161718192021222324252627283456789101134567891011124[[#This Row],[Expense Online]]</f>
        <v>1500</v>
      </c>
      <c r="L11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18900</v>
      </c>
      <c r="M11" s="7">
        <f>Table2345345687911121514161718192021222324252627283456789101134567891011124[[#This Row],[Cash]]-Table2345345687911121514161718192021222324252627283456789101134567891011124[[#This Row],[Expense]]</f>
        <v>27750</v>
      </c>
      <c r="N11" s="45"/>
      <c r="O11" s="12" t="s">
        <v>7</v>
      </c>
      <c r="P11" s="12"/>
      <c r="Q11" s="12">
        <f>Q10/3</f>
        <v>12243.800000000001</v>
      </c>
      <c r="R11" s="12"/>
      <c r="S11" s="12"/>
      <c r="T11" s="11"/>
      <c r="U11" s="11"/>
      <c r="V11" s="11"/>
    </row>
    <row r="12" spans="1:22" x14ac:dyDescent="0.35">
      <c r="A12" s="6">
        <v>45757</v>
      </c>
      <c r="B12" s="7">
        <f>Table2345345687911121514161718192021222324252627283456789101134567891011124[[#This Row],[Profit]]-Table2345345687911121514161718192021222324252627283456789101134567891011124[[#This Row],[Mulbhag]]</f>
        <v>3994</v>
      </c>
      <c r="C12" s="28">
        <f>Table2345345687911121514161718192021222324252627283456789101134567891011124[[#This Row],[Profit]]/3</f>
        <v>1997</v>
      </c>
      <c r="D12" s="7">
        <f t="shared" si="0"/>
        <v>5991</v>
      </c>
      <c r="E12" s="7">
        <f t="shared" si="1"/>
        <v>13979</v>
      </c>
      <c r="F12" s="7">
        <f t="shared" si="2"/>
        <v>19970</v>
      </c>
      <c r="G12" s="7">
        <v>11030</v>
      </c>
      <c r="H12" s="7">
        <v>8940</v>
      </c>
      <c r="I12" s="7">
        <f>IFERROR(VLOOKUP(Table2345345687911121514161718192021222324252627283456789101134567891011124[[#This Row],[Date]],'April Expense'!H10:K260,3,0),0)</f>
        <v>1360</v>
      </c>
      <c r="J12" s="7">
        <f>IFERROR(VLOOKUP(Table2345345687911121514161718192021222324252627283456789101134567891011124[[#This Row],[Date]],'April Expense'!H10:K260,4,0),0)</f>
        <v>0</v>
      </c>
      <c r="K12" s="7">
        <f>Table2345345687911121514161718192021222324252627283456789101134567891011124[[#This Row],[Account Transfer]]-Table2345345687911121514161718192021222324252627283456789101134567891011124[[#This Row],[Expense Online]]</f>
        <v>8940</v>
      </c>
      <c r="L12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3679</v>
      </c>
      <c r="M12" s="7">
        <f>Table2345345687911121514161718192021222324252627283456789101134567891011124[[#This Row],[Cash]]-Table2345345687911121514161718192021222324252627283456789101134567891011124[[#This Row],[Expense]]</f>
        <v>9670</v>
      </c>
      <c r="N12" s="45"/>
    </row>
    <row r="13" spans="1:22" x14ac:dyDescent="0.35">
      <c r="A13" s="6">
        <v>45758</v>
      </c>
      <c r="B13" s="7">
        <f>Table2345345687911121514161718192021222324252627283456789101134567891011124[[#This Row],[Profit]]-Table2345345687911121514161718192021222324252627283456789101134567891011124[[#This Row],[Mulbhag]]</f>
        <v>2300</v>
      </c>
      <c r="C13" s="28">
        <f>Table2345345687911121514161718192021222324252627283456789101134567891011124[[#This Row],[Profit]]/3</f>
        <v>1150</v>
      </c>
      <c r="D13" s="7">
        <f t="shared" si="0"/>
        <v>3450</v>
      </c>
      <c r="E13" s="7">
        <f t="shared" si="1"/>
        <v>8050</v>
      </c>
      <c r="F13" s="7">
        <f t="shared" si="2"/>
        <v>11500</v>
      </c>
      <c r="G13" s="7">
        <v>7700</v>
      </c>
      <c r="H13" s="7">
        <v>3800</v>
      </c>
      <c r="I13" s="7">
        <f>IFERROR(VLOOKUP(Table2345345687911121514161718192021222324252627283456789101134567891011124[[#This Row],[Date]],'April Expense'!H11:K261,3,0),0)</f>
        <v>1060</v>
      </c>
      <c r="J13" s="7">
        <f>IFERROR(VLOOKUP(Table2345345687911121514161718192021222324252627283456789101134567891011124[[#This Row],[Date]],'April Expense'!H11:K261,4,0),0)</f>
        <v>0</v>
      </c>
      <c r="K13" s="7">
        <f>Table2345345687911121514161718192021222324252627283456789101134567891011124[[#This Row],[Account Transfer]]-Table2345345687911121514161718192021222324252627283456789101134567891011124[[#This Row],[Expense Online]]</f>
        <v>3800</v>
      </c>
      <c r="L13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3190</v>
      </c>
      <c r="M13" s="7">
        <f>Table2345345687911121514161718192021222324252627283456789101134567891011124[[#This Row],[Cash]]-Table2345345687911121514161718192021222324252627283456789101134567891011124[[#This Row],[Expense]]</f>
        <v>6640</v>
      </c>
      <c r="N13" s="45">
        <v>460</v>
      </c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45759</v>
      </c>
      <c r="B14" s="7">
        <f>Table2345345687911121514161718192021222324252627283456789101134567891011124[[#This Row],[Profit]]-Table2345345687911121514161718192021222324252627283456789101134567891011124[[#This Row],[Mulbhag]]</f>
        <v>1560</v>
      </c>
      <c r="C14" s="28">
        <f>Table2345345687911121514161718192021222324252627283456789101134567891011124[[#This Row],[Profit]]/3</f>
        <v>780</v>
      </c>
      <c r="D14" s="7">
        <f t="shared" si="0"/>
        <v>2340</v>
      </c>
      <c r="E14" s="7">
        <f t="shared" si="1"/>
        <v>5460</v>
      </c>
      <c r="F14" s="7">
        <f t="shared" si="2"/>
        <v>7800</v>
      </c>
      <c r="G14" s="7">
        <v>5270</v>
      </c>
      <c r="H14" s="7">
        <v>2530</v>
      </c>
      <c r="I14" s="7">
        <f>IFERROR(VLOOKUP(Table2345345687911121514161718192021222324252627283456789101134567891011124[[#This Row],[Date]],'April Expense'!H12:K262,3,0),0)</f>
        <v>1110</v>
      </c>
      <c r="J14" s="7">
        <f>IFERROR(VLOOKUP(Table2345345687911121514161718192021222324252627283456789101134567891011124[[#This Row],[Date]],'April Expense'!H12:K262,4,0),0)</f>
        <v>0</v>
      </c>
      <c r="K14" s="7">
        <f>Table2345345687911121514161718192021222324252627283456789101134567891011124[[#This Row],[Account Transfer]]-Table2345345687911121514161718192021222324252627283456789101134567891011124[[#This Row],[Expense Online]]</f>
        <v>2530</v>
      </c>
      <c r="L14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1820</v>
      </c>
      <c r="M14" s="7">
        <f>Table2345345687911121514161718192021222324252627283456789101134567891011124[[#This Row],[Cash]]-Table2345345687911121514161718192021222324252627283456789101134567891011124[[#This Row],[Expense]]</f>
        <v>4160</v>
      </c>
      <c r="N14" s="45"/>
      <c r="O14" s="10">
        <f t="shared" ref="O14:O20" si="11">A10</f>
        <v>45755</v>
      </c>
      <c r="P14" s="11">
        <f>Q14/3</f>
        <v>1077</v>
      </c>
      <c r="Q14" s="11">
        <f>S14*0.3</f>
        <v>3231</v>
      </c>
      <c r="R14" s="11">
        <f t="shared" ref="R14:R20" si="12">S14-Q14</f>
        <v>7539</v>
      </c>
      <c r="S14" s="11">
        <f>T14+U14</f>
        <v>10770</v>
      </c>
      <c r="T14" s="11">
        <f t="shared" ref="T14:T20" si="13">VLOOKUP(O14,$A$1:$J$34,7,0)</f>
        <v>6160</v>
      </c>
      <c r="U14" s="11">
        <f t="shared" ref="U14:U20" si="14">VLOOKUP(O14,$A$1:$J$34,8,0)</f>
        <v>4610</v>
      </c>
      <c r="V14" s="11">
        <f t="shared" ref="V14:V20" si="15">VLOOKUP(O14,$A$1:$J$34,9,0)</f>
        <v>4880</v>
      </c>
    </row>
    <row r="15" spans="1:22" x14ac:dyDescent="0.35">
      <c r="A15" s="6">
        <v>45760</v>
      </c>
      <c r="B15" s="7">
        <f>Table2345345687911121514161718192021222324252627283456789101134567891011124[[#This Row],[Profit]]-Table2345345687911121514161718192021222324252627283456789101134567891011124[[#This Row],[Mulbhag]]</f>
        <v>2004</v>
      </c>
      <c r="C15" s="28">
        <f>Table2345345687911121514161718192021222324252627283456789101134567891011124[[#This Row],[Profit]]/3</f>
        <v>1002</v>
      </c>
      <c r="D15" s="7">
        <f t="shared" si="0"/>
        <v>3006</v>
      </c>
      <c r="E15" s="7">
        <f t="shared" si="1"/>
        <v>7014</v>
      </c>
      <c r="F15" s="7">
        <f t="shared" si="2"/>
        <v>10020</v>
      </c>
      <c r="G15" s="7">
        <v>4960</v>
      </c>
      <c r="H15" s="7">
        <v>5060</v>
      </c>
      <c r="I15" s="7">
        <f>IFERROR(VLOOKUP(Table2345345687911121514161718192021222324252627283456789101134567891011124[[#This Row],[Date]],'April Expense'!H13:K263,3,0),0)</f>
        <v>1100</v>
      </c>
      <c r="J15" s="7">
        <f>IFERROR(VLOOKUP(Table2345345687911121514161718192021222324252627283456789101134567891011124[[#This Row],[Date]],'April Expense'!H13:K263,4,0),0)</f>
        <v>0</v>
      </c>
      <c r="K15" s="7">
        <f>Table2345345687911121514161718192021222324252627283456789101134567891011124[[#This Row],[Account Transfer]]-Table2345345687911121514161718192021222324252627283456789101134567891011124[[#This Row],[Expense Online]]</f>
        <v>5060</v>
      </c>
      <c r="L15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854</v>
      </c>
      <c r="M15" s="7">
        <f>Table2345345687911121514161718192021222324252627283456789101134567891011124[[#This Row],[Cash]]-Table2345345687911121514161718192021222324252627283456789101134567891011124[[#This Row],[Expense]]</f>
        <v>3860</v>
      </c>
      <c r="N15" s="45"/>
      <c r="O15" s="8">
        <f t="shared" si="11"/>
        <v>45756</v>
      </c>
      <c r="P15" s="9">
        <f>Q15/3</f>
        <v>2950</v>
      </c>
      <c r="Q15" s="9">
        <f>S15*0.3</f>
        <v>8850</v>
      </c>
      <c r="R15" s="9">
        <f t="shared" si="12"/>
        <v>20650</v>
      </c>
      <c r="S15" s="9">
        <f t="shared" ref="S15:S20" si="16">T15+U15</f>
        <v>29500</v>
      </c>
      <c r="T15" s="9">
        <f t="shared" si="13"/>
        <v>28000</v>
      </c>
      <c r="U15" s="9">
        <f t="shared" si="14"/>
        <v>1500</v>
      </c>
      <c r="V15" s="9">
        <f t="shared" si="15"/>
        <v>250</v>
      </c>
    </row>
    <row r="16" spans="1:22" x14ac:dyDescent="0.35">
      <c r="A16" s="6">
        <v>45761</v>
      </c>
      <c r="B16" s="7">
        <f>Table2345345687911121514161718192021222324252627283456789101134567891011124[[#This Row],[Profit]]-Table2345345687911121514161718192021222324252627283456789101134567891011124[[#This Row],[Mulbhag]]</f>
        <v>6474.7999999999993</v>
      </c>
      <c r="C16" s="28">
        <f>Table2345345687911121514161718192021222324252627283456789101134567891011124[[#This Row],[Profit]]/3</f>
        <v>3237.3999999999996</v>
      </c>
      <c r="D16" s="7">
        <f t="shared" si="0"/>
        <v>9712.1999999999989</v>
      </c>
      <c r="E16" s="7">
        <f t="shared" si="1"/>
        <v>22661.800000000003</v>
      </c>
      <c r="F16" s="7">
        <f t="shared" si="2"/>
        <v>32374</v>
      </c>
      <c r="G16" s="7">
        <v>22734</v>
      </c>
      <c r="H16" s="7">
        <v>9640</v>
      </c>
      <c r="I16" s="7">
        <f>IFERROR(VLOOKUP(Table2345345687911121514161718192021222324252627283456789101134567891011124[[#This Row],[Date]],'April Expense'!H14:K264,3,0),0)</f>
        <v>2140</v>
      </c>
      <c r="J16" s="7">
        <f>IFERROR(VLOOKUP(Table2345345687911121514161718192021222324252627283456789101134567891011124[[#This Row],[Date]],'April Expense'!H14:K264,4,0),0)</f>
        <v>0</v>
      </c>
      <c r="K16" s="7">
        <f>Table2345345687911121514161718192021222324252627283456789101134567891011124[[#This Row],[Account Transfer]]-Table2345345687911121514161718192021222324252627283456789101134567891011124[[#This Row],[Expense Online]]</f>
        <v>9640</v>
      </c>
      <c r="L16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10881.8</v>
      </c>
      <c r="M16" s="7">
        <f>Table2345345687911121514161718192021222324252627283456789101134567891011124[[#This Row],[Cash]]-Table2345345687911121514161718192021222324252627283456789101134567891011124[[#This Row],[Expense]]</f>
        <v>20594</v>
      </c>
      <c r="N16" s="45">
        <v>180</v>
      </c>
      <c r="O16" s="10">
        <f t="shared" si="11"/>
        <v>45757</v>
      </c>
      <c r="P16" s="11">
        <f t="shared" ref="P16:P20" si="17">Q16/3</f>
        <v>1997</v>
      </c>
      <c r="Q16" s="11">
        <f t="shared" ref="Q16:Q20" si="18">S16*0.3</f>
        <v>5991</v>
      </c>
      <c r="R16" s="11">
        <f t="shared" si="12"/>
        <v>13979</v>
      </c>
      <c r="S16" s="11">
        <f t="shared" si="16"/>
        <v>19970</v>
      </c>
      <c r="T16" s="11">
        <f t="shared" si="13"/>
        <v>11030</v>
      </c>
      <c r="U16" s="11">
        <f t="shared" si="14"/>
        <v>8940</v>
      </c>
      <c r="V16" s="11">
        <f t="shared" si="15"/>
        <v>1360</v>
      </c>
    </row>
    <row r="17" spans="1:22" x14ac:dyDescent="0.35">
      <c r="A17" s="6">
        <v>45762</v>
      </c>
      <c r="B17" s="7">
        <f>Table2345345687911121514161718192021222324252627283456789101134567891011124[[#This Row],[Profit]]-Table2345345687911121514161718192021222324252627283456789101134567891011124[[#This Row],[Mulbhag]]</f>
        <v>4464</v>
      </c>
      <c r="C17" s="28">
        <f>Table2345345687911121514161718192021222324252627283456789101134567891011124[[#This Row],[Profit]]/3</f>
        <v>2232</v>
      </c>
      <c r="D17" s="7">
        <f t="shared" si="0"/>
        <v>6696</v>
      </c>
      <c r="E17" s="7">
        <f t="shared" si="1"/>
        <v>15624</v>
      </c>
      <c r="F17" s="7">
        <f t="shared" si="2"/>
        <v>22320</v>
      </c>
      <c r="G17" s="7">
        <v>6610</v>
      </c>
      <c r="H17" s="7">
        <v>15710</v>
      </c>
      <c r="I17" s="7">
        <f>IFERROR(VLOOKUP(Table2345345687911121514161718192021222324252627283456789101134567891011124[[#This Row],[Date]],'April Expense'!H15:K265,3,0),0)</f>
        <v>1100</v>
      </c>
      <c r="J17" s="7">
        <f>IFERROR(VLOOKUP(Table2345345687911121514161718192021222324252627283456789101134567891011124[[#This Row],[Date]],'April Expense'!H15:K265,4,0),0)</f>
        <v>120</v>
      </c>
      <c r="K17" s="7">
        <f>Table2345345687911121514161718192021222324252627283456789101134567891011124[[#This Row],[Account Transfer]]-Table2345345687911121514161718192021222324252627283456789101134567891011124[[#This Row],[Expense Online]]</f>
        <v>15590</v>
      </c>
      <c r="L17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-1186</v>
      </c>
      <c r="M17" s="7">
        <f>Table2345345687911121514161718192021222324252627283456789101134567891011124[[#This Row],[Cash]]-Table2345345687911121514161718192021222324252627283456789101134567891011124[[#This Row],[Expense]]</f>
        <v>5510</v>
      </c>
      <c r="N17" s="45">
        <v>190</v>
      </c>
      <c r="O17" s="8">
        <f t="shared" si="11"/>
        <v>45758</v>
      </c>
      <c r="P17" s="9">
        <f t="shared" si="17"/>
        <v>1150</v>
      </c>
      <c r="Q17" s="9">
        <f t="shared" si="18"/>
        <v>3450</v>
      </c>
      <c r="R17" s="9">
        <f t="shared" si="12"/>
        <v>8050</v>
      </c>
      <c r="S17" s="9">
        <f t="shared" si="16"/>
        <v>11500</v>
      </c>
      <c r="T17" s="9">
        <f t="shared" si="13"/>
        <v>7700</v>
      </c>
      <c r="U17" s="9">
        <f t="shared" si="14"/>
        <v>3800</v>
      </c>
      <c r="V17" s="9">
        <f t="shared" si="15"/>
        <v>1060</v>
      </c>
    </row>
    <row r="18" spans="1:22" x14ac:dyDescent="0.35">
      <c r="A18" s="6">
        <v>45763</v>
      </c>
      <c r="B18" s="7">
        <f>Table2345345687911121514161718192021222324252627283456789101134567891011124[[#This Row],[Profit]]-Table2345345687911121514161718192021222324252627283456789101134567891011124[[#This Row],[Mulbhag]]</f>
        <v>5421</v>
      </c>
      <c r="C18" s="28">
        <f>Table2345345687911121514161718192021222324252627283456789101134567891011124[[#This Row],[Profit]]/3</f>
        <v>2710.5</v>
      </c>
      <c r="D18" s="7">
        <f t="shared" si="0"/>
        <v>8131.5</v>
      </c>
      <c r="E18" s="7">
        <f t="shared" si="1"/>
        <v>18973.5</v>
      </c>
      <c r="F18" s="7">
        <f t="shared" si="2"/>
        <v>27105</v>
      </c>
      <c r="G18" s="7">
        <v>18820</v>
      </c>
      <c r="H18" s="7">
        <v>8285</v>
      </c>
      <c r="I18" s="7">
        <f>IFERROR(VLOOKUP(Table2345345687911121514161718192021222324252627283456789101134567891011124[[#This Row],[Date]],'April Expense'!H16:K266,3,0),0)</f>
        <v>400</v>
      </c>
      <c r="J18" s="7">
        <f>IFERROR(VLOOKUP(Table2345345687911121514161718192021222324252627283456789101134567891011124[[#This Row],[Date]],'April Expense'!H16:K266,4,0),0)</f>
        <v>7279</v>
      </c>
      <c r="K18" s="7">
        <f>Table2345345687911121514161718192021222324252627283456789101134567891011124[[#This Row],[Account Transfer]]-Table2345345687911121514161718192021222324252627283456789101134567891011124[[#This Row],[Expense Online]]</f>
        <v>1006</v>
      </c>
      <c r="L18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10288.5</v>
      </c>
      <c r="M18" s="7">
        <f>Table2345345687911121514161718192021222324252627283456789101134567891011124[[#This Row],[Cash]]-Table2345345687911121514161718192021222324252627283456789101134567891011124[[#This Row],[Expense]]</f>
        <v>18420</v>
      </c>
      <c r="N18" s="45">
        <v>300</v>
      </c>
      <c r="O18" s="10">
        <f t="shared" si="11"/>
        <v>45759</v>
      </c>
      <c r="P18" s="11">
        <f t="shared" si="17"/>
        <v>780</v>
      </c>
      <c r="Q18" s="11">
        <f t="shared" si="18"/>
        <v>2340</v>
      </c>
      <c r="R18" s="11">
        <f t="shared" si="12"/>
        <v>5460</v>
      </c>
      <c r="S18" s="11">
        <f t="shared" si="16"/>
        <v>7800</v>
      </c>
      <c r="T18" s="11">
        <f t="shared" si="13"/>
        <v>5270</v>
      </c>
      <c r="U18" s="11">
        <f t="shared" si="14"/>
        <v>2530</v>
      </c>
      <c r="V18" s="11">
        <f t="shared" si="15"/>
        <v>1110</v>
      </c>
    </row>
    <row r="19" spans="1:22" x14ac:dyDescent="0.35">
      <c r="A19" s="6">
        <v>45764</v>
      </c>
      <c r="B19" s="7">
        <f>Table2345345687911121514161718192021222324252627283456789101134567891011124[[#This Row],[Profit]]-Table2345345687911121514161718192021222324252627283456789101134567891011124[[#This Row],[Mulbhag]]</f>
        <v>3709</v>
      </c>
      <c r="C19" s="28">
        <f>Table2345345687911121514161718192021222324252627283456789101134567891011124[[#This Row],[Profit]]/3</f>
        <v>1854.5</v>
      </c>
      <c r="D19" s="7">
        <f t="shared" si="0"/>
        <v>5563.5</v>
      </c>
      <c r="E19" s="7">
        <f t="shared" si="1"/>
        <v>12981.5</v>
      </c>
      <c r="F19" s="7">
        <f t="shared" si="2"/>
        <v>18545</v>
      </c>
      <c r="G19" s="7">
        <v>6230</v>
      </c>
      <c r="H19" s="7">
        <f>16315-4000</f>
        <v>12315</v>
      </c>
      <c r="I19" s="7">
        <f>IFERROR(VLOOKUP(Table2345345687911121514161718192021222324252627283456789101134567891011124[[#This Row],[Date]],'April Expense'!H17:K267,3,0),0)</f>
        <v>1130</v>
      </c>
      <c r="J19" s="7">
        <f>IFERROR(VLOOKUP(Table2345345687911121514161718192021222324252627283456789101134567891011124[[#This Row],[Date]],'April Expense'!H17:K267,4,0),0)</f>
        <v>6200</v>
      </c>
      <c r="K19" s="7">
        <f>Table2345345687911121514161718192021222324252627283456789101134567891011124[[#This Row],[Account Transfer]]-Table2345345687911121514161718192021222324252627283456789101134567891011124[[#This Row],[Expense Online]]</f>
        <v>6115</v>
      </c>
      <c r="L19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-463.5</v>
      </c>
      <c r="M19" s="7">
        <f>Table2345345687911121514161718192021222324252627283456789101134567891011124[[#This Row],[Cash]]-Table2345345687911121514161718192021222324252627283456789101134567891011124[[#This Row],[Expense]]</f>
        <v>5100</v>
      </c>
      <c r="N19" s="45">
        <v>0</v>
      </c>
      <c r="O19" s="8">
        <f t="shared" si="11"/>
        <v>45760</v>
      </c>
      <c r="P19" s="9">
        <f t="shared" si="17"/>
        <v>1002</v>
      </c>
      <c r="Q19" s="9">
        <f t="shared" si="18"/>
        <v>3006</v>
      </c>
      <c r="R19" s="9">
        <f t="shared" si="12"/>
        <v>7014</v>
      </c>
      <c r="S19" s="9">
        <f t="shared" si="16"/>
        <v>10020</v>
      </c>
      <c r="T19" s="9">
        <f t="shared" si="13"/>
        <v>4960</v>
      </c>
      <c r="U19" s="9">
        <f t="shared" si="14"/>
        <v>5060</v>
      </c>
      <c r="V19" s="9">
        <f t="shared" si="15"/>
        <v>1100</v>
      </c>
    </row>
    <row r="20" spans="1:22" x14ac:dyDescent="0.35">
      <c r="A20" s="6">
        <v>45765</v>
      </c>
      <c r="B20" s="7">
        <f>Table2345345687911121514161718192021222324252627283456789101134567891011124[[#This Row],[Profit]]-Table2345345687911121514161718192021222324252627283456789101134567891011124[[#This Row],[Mulbhag]]</f>
        <v>3650</v>
      </c>
      <c r="C20" s="28">
        <f>Table2345345687911121514161718192021222324252627283456789101134567891011124[[#This Row],[Profit]]/3</f>
        <v>1825</v>
      </c>
      <c r="D20" s="7">
        <f t="shared" si="0"/>
        <v>5475</v>
      </c>
      <c r="E20" s="7">
        <f t="shared" si="1"/>
        <v>12775</v>
      </c>
      <c r="F20" s="7">
        <f t="shared" si="2"/>
        <v>18250</v>
      </c>
      <c r="G20" s="7">
        <v>4180</v>
      </c>
      <c r="H20" s="7">
        <f>3670+5000+5400</f>
        <v>14070</v>
      </c>
      <c r="I20" s="7">
        <f>IFERROR(VLOOKUP(Table2345345687911121514161718192021222324252627283456789101134567891011124[[#This Row],[Date]],'April Expense'!H18:K268,3,0),0)</f>
        <v>1620</v>
      </c>
      <c r="J20" s="7">
        <f>IFERROR(VLOOKUP(Table2345345687911121514161718192021222324252627283456789101134567891011124[[#This Row],[Date]],'April Expense'!H18:K268,4,0),0)</f>
        <v>1650</v>
      </c>
      <c r="K20" s="7">
        <f>Table2345345687911121514161718192021222324252627283456789101134567891011124[[#This Row],[Account Transfer]]-Table2345345687911121514161718192021222324252627283456789101134567891011124[[#This Row],[Expense Online]]</f>
        <v>12420</v>
      </c>
      <c r="L20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-2915</v>
      </c>
      <c r="M20" s="7">
        <f>Table2345345687911121514161718192021222324252627283456789101134567891011124[[#This Row],[Cash]]-Table2345345687911121514161718192021222324252627283456789101134567891011124[[#This Row],[Expense]]</f>
        <v>2560</v>
      </c>
      <c r="N20" s="45">
        <v>500</v>
      </c>
      <c r="O20" s="10">
        <f t="shared" si="11"/>
        <v>45761</v>
      </c>
      <c r="P20" s="11">
        <f t="shared" si="17"/>
        <v>3237.3999999999996</v>
      </c>
      <c r="Q20" s="11">
        <f t="shared" si="18"/>
        <v>9712.1999999999989</v>
      </c>
      <c r="R20" s="11">
        <f t="shared" si="12"/>
        <v>22661.800000000003</v>
      </c>
      <c r="S20" s="11">
        <f t="shared" si="16"/>
        <v>32374</v>
      </c>
      <c r="T20" s="11">
        <f t="shared" si="13"/>
        <v>22734</v>
      </c>
      <c r="U20" s="11">
        <f t="shared" si="14"/>
        <v>9640</v>
      </c>
      <c r="V20" s="11">
        <f t="shared" si="15"/>
        <v>2140</v>
      </c>
    </row>
    <row r="21" spans="1:22" x14ac:dyDescent="0.35">
      <c r="A21" s="6">
        <v>45766</v>
      </c>
      <c r="B21" s="7">
        <f>Table2345345687911121514161718192021222324252627283456789101134567891011124[[#This Row],[Profit]]-Table2345345687911121514161718192021222324252627283456789101134567891011124[[#This Row],[Mulbhag]]</f>
        <v>2514</v>
      </c>
      <c r="C21" s="28">
        <f>Table2345345687911121514161718192021222324252627283456789101134567891011124[[#This Row],[Profit]]/3</f>
        <v>1257</v>
      </c>
      <c r="D21" s="7">
        <f t="shared" si="0"/>
        <v>3771</v>
      </c>
      <c r="E21" s="7">
        <f t="shared" si="1"/>
        <v>8799</v>
      </c>
      <c r="F21" s="7">
        <f t="shared" si="2"/>
        <v>12570</v>
      </c>
      <c r="G21" s="7">
        <v>4530</v>
      </c>
      <c r="H21" s="7">
        <v>8040</v>
      </c>
      <c r="I21" s="7">
        <f>IFERROR(VLOOKUP(Table2345345687911121514161718192021222324252627283456789101134567891011124[[#This Row],[Date]],'April Expense'!H19:K269,3,0),0)</f>
        <v>110</v>
      </c>
      <c r="J21" s="7">
        <f>IFERROR(VLOOKUP(Table2345345687911121514161718192021222324252627283456789101134567891011124[[#This Row],[Date]],'April Expense'!H19:K269,4,0),0)</f>
        <v>0</v>
      </c>
      <c r="K21" s="7">
        <f>Table2345345687911121514161718192021222324252627283456789101134567891011124[[#This Row],[Account Transfer]]-Table2345345687911121514161718192021222324252627283456789101134567891011124[[#This Row],[Expense Online]]</f>
        <v>8040</v>
      </c>
      <c r="L21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649</v>
      </c>
      <c r="M21" s="7">
        <f>Table2345345687911121514161718192021222324252627283456789101134567891011124[[#This Row],[Cash]]-Table2345345687911121514161718192021222324252627283456789101134567891011124[[#This Row],[Expense]]</f>
        <v>4420</v>
      </c>
      <c r="N21" s="45">
        <v>1000</v>
      </c>
      <c r="O21" s="12" t="s">
        <v>3</v>
      </c>
      <c r="P21" s="12">
        <f>SUM(P14:P20)</f>
        <v>12193.4</v>
      </c>
      <c r="Q21" s="12">
        <f t="shared" ref="Q21:V21" si="19">SUM(Q14:Q20)</f>
        <v>36580.199999999997</v>
      </c>
      <c r="R21" s="12">
        <f t="shared" si="19"/>
        <v>85353.8</v>
      </c>
      <c r="S21" s="12">
        <f t="shared" si="19"/>
        <v>121934</v>
      </c>
      <c r="T21" s="12">
        <f t="shared" si="19"/>
        <v>85854</v>
      </c>
      <c r="U21" s="12">
        <f t="shared" si="19"/>
        <v>36080</v>
      </c>
      <c r="V21" s="12">
        <f t="shared" si="19"/>
        <v>11900</v>
      </c>
    </row>
    <row r="22" spans="1:22" x14ac:dyDescent="0.35">
      <c r="A22" s="6">
        <v>45767</v>
      </c>
      <c r="B22" s="7">
        <f>Table2345345687911121514161718192021222324252627283456789101134567891011124[[#This Row],[Profit]]-Table2345345687911121514161718192021222324252627283456789101134567891011124[[#This Row],[Mulbhag]]</f>
        <v>5828</v>
      </c>
      <c r="C22" s="28">
        <f>Table2345345687911121514161718192021222324252627283456789101134567891011124[[#This Row],[Profit]]/3</f>
        <v>2914</v>
      </c>
      <c r="D22" s="7">
        <f t="shared" si="0"/>
        <v>8742</v>
      </c>
      <c r="E22" s="7">
        <f t="shared" si="1"/>
        <v>20398</v>
      </c>
      <c r="F22" s="7">
        <f t="shared" si="2"/>
        <v>29140</v>
      </c>
      <c r="G22" s="7">
        <v>2870</v>
      </c>
      <c r="H22" s="7">
        <f>4620+21650</f>
        <v>26270</v>
      </c>
      <c r="I22" s="7">
        <f>IFERROR(VLOOKUP(Table2345345687911121514161718192021222324252627283456789101134567891011124[[#This Row],[Date]],'April Expense'!H20:K270,3,0),0)</f>
        <v>50960</v>
      </c>
      <c r="J22" s="7">
        <f>IFERROR(VLOOKUP(Table2345345687911121514161718192021222324252627283456789101134567891011124[[#This Row],[Date]],'April Expense'!H20:K270,4,0),0)</f>
        <v>96188</v>
      </c>
      <c r="K22" s="7">
        <f>Table2345345687911121514161718192021222324252627283456789101134567891011124[[#This Row],[Account Transfer]]-Table2345345687911121514161718192021222324252627283456789101134567891011124[[#This Row],[Expense Online]]</f>
        <v>-69918</v>
      </c>
      <c r="L22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-56832</v>
      </c>
      <c r="M22" s="7">
        <f>Table2345345687911121514161718192021222324252627283456789101134567891011124[[#This Row],[Cash]]-Table2345345687911121514161718192021222324252627283456789101134567891011124[[#This Row],[Expense]]</f>
        <v>-48090</v>
      </c>
      <c r="N22" s="45"/>
      <c r="O22" s="12" t="s">
        <v>7</v>
      </c>
      <c r="P22" s="12"/>
      <c r="Q22" s="12">
        <f>Q21/3</f>
        <v>12193.4</v>
      </c>
      <c r="R22" s="12"/>
      <c r="S22" s="12">
        <f>R22+Q22</f>
        <v>12193.4</v>
      </c>
      <c r="T22" s="11"/>
      <c r="U22" s="11"/>
      <c r="V22" s="11"/>
    </row>
    <row r="23" spans="1:22" x14ac:dyDescent="0.35">
      <c r="A23" s="6">
        <v>45768</v>
      </c>
      <c r="B23" s="7">
        <f>Table2345345687911121514161718192021222324252627283456789101134567891011124[[#This Row],[Profit]]-Table2345345687911121514161718192021222324252627283456789101134567891011124[[#This Row],[Mulbhag]]</f>
        <v>7678</v>
      </c>
      <c r="C23" s="28">
        <f>Table2345345687911121514161718192021222324252627283456789101134567891011124[[#This Row],[Profit]]/3</f>
        <v>3839</v>
      </c>
      <c r="D23" s="7">
        <f t="shared" si="0"/>
        <v>11517</v>
      </c>
      <c r="E23" s="7">
        <f t="shared" si="1"/>
        <v>26873</v>
      </c>
      <c r="F23" s="7">
        <f t="shared" si="2"/>
        <v>38390</v>
      </c>
      <c r="G23" s="7">
        <v>10500</v>
      </c>
      <c r="H23" s="7">
        <f>12890+15000</f>
        <v>27890</v>
      </c>
      <c r="I23" s="7">
        <f>IFERROR(VLOOKUP(Table2345345687911121514161718192021222324252627283456789101134567891011124[[#This Row],[Date]],'April Expense'!H21:K271,3,0),0)</f>
        <v>350</v>
      </c>
      <c r="J23" s="7">
        <f>IFERROR(VLOOKUP(Table2345345687911121514161718192021222324252627283456789101134567891011124[[#This Row],[Date]],'April Expense'!H21:K271,4,0),0)</f>
        <v>20000</v>
      </c>
      <c r="K23" s="7">
        <f>Table2345345687911121514161718192021222324252627283456789101134567891011124[[#This Row],[Account Transfer]]-Table2345345687911121514161718192021222324252627283456789101134567891011124[[#This Row],[Expense Online]]</f>
        <v>7890</v>
      </c>
      <c r="L23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-1367</v>
      </c>
      <c r="M23" s="7">
        <f>Table2345345687911121514161718192021222324252627283456789101134567891011124[[#This Row],[Cash]]-Table2345345687911121514161718192021222324252627283456789101134567891011124[[#This Row],[Expense]]</f>
        <v>10150</v>
      </c>
      <c r="N23" s="45">
        <v>350</v>
      </c>
    </row>
    <row r="24" spans="1:22" x14ac:dyDescent="0.35">
      <c r="A24" s="6">
        <v>45769</v>
      </c>
      <c r="B24" s="7">
        <f>Table2345345687911121514161718192021222324252627283456789101134567891011124[[#This Row],[Profit]]-Table2345345687911121514161718192021222324252627283456789101134567891011124[[#This Row],[Mulbhag]]</f>
        <v>1142</v>
      </c>
      <c r="C24" s="28">
        <f>Table2345345687911121514161718192021222324252627283456789101134567891011124[[#This Row],[Profit]]/3</f>
        <v>571</v>
      </c>
      <c r="D24" s="7">
        <f t="shared" si="0"/>
        <v>1713</v>
      </c>
      <c r="E24" s="7">
        <f t="shared" si="1"/>
        <v>3997</v>
      </c>
      <c r="F24" s="7">
        <f t="shared" si="2"/>
        <v>5710</v>
      </c>
      <c r="G24" s="7">
        <v>2280</v>
      </c>
      <c r="H24" s="7">
        <f>2630+800</f>
        <v>3430</v>
      </c>
      <c r="I24" s="7">
        <f>IFERROR(VLOOKUP(Table2345345687911121514161718192021222324252627283456789101134567891011124[[#This Row],[Date]],'April Expense'!H22:K272,3,0),0)</f>
        <v>1010</v>
      </c>
      <c r="J24" s="7">
        <f>IFERROR(VLOOKUP(Table2345345687911121514161718192021222324252627283456789101134567891011124[[#This Row],[Date]],'April Expense'!H22:K272,4,0),0)</f>
        <v>0</v>
      </c>
      <c r="K24" s="7">
        <f>Table2345345687911121514161718192021222324252627283456789101134567891011124[[#This Row],[Account Transfer]]-Table2345345687911121514161718192021222324252627283456789101134567891011124[[#This Row],[Expense Online]]</f>
        <v>3430</v>
      </c>
      <c r="L24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-443</v>
      </c>
      <c r="M24" s="7">
        <f>Table2345345687911121514161718192021222324252627283456789101134567891011124[[#This Row],[Cash]]-Table2345345687911121514161718192021222324252627283456789101134567891011124[[#This Row],[Expense]]</f>
        <v>1270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45770</v>
      </c>
      <c r="B25" s="7">
        <f>Table2345345687911121514161718192021222324252627283456789101134567891011124[[#This Row],[Profit]]-Table2345345687911121514161718192021222324252627283456789101134567891011124[[#This Row],[Mulbhag]]</f>
        <v>5704</v>
      </c>
      <c r="C25" s="28">
        <f>Table2345345687911121514161718192021222324252627283456789101134567891011124[[#This Row],[Profit]]/3</f>
        <v>2852</v>
      </c>
      <c r="D25" s="7">
        <f t="shared" si="0"/>
        <v>8556</v>
      </c>
      <c r="E25" s="7">
        <f t="shared" si="1"/>
        <v>19964</v>
      </c>
      <c r="F25" s="7">
        <f t="shared" si="2"/>
        <v>28520</v>
      </c>
      <c r="G25" s="7">
        <v>2470</v>
      </c>
      <c r="H25" s="7">
        <v>26050</v>
      </c>
      <c r="I25" s="7">
        <f>IFERROR(VLOOKUP(Table2345345687911121514161718192021222324252627283456789101134567891011124[[#This Row],[Date]],'April Expense'!H23:K273,3,0),0)</f>
        <v>1910</v>
      </c>
      <c r="J25" s="7">
        <f>IFERROR(VLOOKUP(Table2345345687911121514161718192021222324252627283456789101134567891011124[[#This Row],[Date]],'April Expense'!H23:K273,4,0),0)</f>
        <v>56500</v>
      </c>
      <c r="K25" s="7">
        <f>Table2345345687911121514161718192021222324252627283456789101134567891011124[[#This Row],[Account Transfer]]-Table2345345687911121514161718192021222324252627283456789101134567891011124[[#This Row],[Expense Online]]</f>
        <v>-30450</v>
      </c>
      <c r="L25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-7996</v>
      </c>
      <c r="M25" s="7">
        <f>Table2345345687911121514161718192021222324252627283456789101134567891011124[[#This Row],[Cash]]-Table2345345687911121514161718192021222324252627283456789101134567891011124[[#This Row],[Expense]]</f>
        <v>560</v>
      </c>
      <c r="N25" s="45"/>
      <c r="O25" s="10">
        <f t="shared" ref="O25:O31" si="20">A17</f>
        <v>45762</v>
      </c>
      <c r="P25" s="11">
        <f>Q25/3</f>
        <v>2232</v>
      </c>
      <c r="Q25" s="11">
        <f>S25*0.3</f>
        <v>6696</v>
      </c>
      <c r="R25" s="11">
        <f t="shared" ref="R25:R31" si="21">S25-Q25</f>
        <v>15624</v>
      </c>
      <c r="S25" s="11">
        <f>T25+U25</f>
        <v>22320</v>
      </c>
      <c r="T25" s="11">
        <f t="shared" ref="T25:T31" si="22">VLOOKUP(O25,$A$1:$J$34,7,0)</f>
        <v>6610</v>
      </c>
      <c r="U25" s="11">
        <f t="shared" ref="U25:U31" si="23">VLOOKUP(O25,$A$1:$J$34,8,0)</f>
        <v>15710</v>
      </c>
      <c r="V25" s="11">
        <f t="shared" ref="V25:V31" si="24">VLOOKUP(O25,$A$1:$J$34,9,0)</f>
        <v>1100</v>
      </c>
    </row>
    <row r="26" spans="1:22" x14ac:dyDescent="0.35">
      <c r="A26" s="6">
        <v>45771</v>
      </c>
      <c r="B26" s="7">
        <f>Table2345345687911121514161718192021222324252627283456789101134567891011124[[#This Row],[Profit]]-Table2345345687911121514161718192021222324252627283456789101134567891011124[[#This Row],[Mulbhag]]</f>
        <v>1310</v>
      </c>
      <c r="C26" s="28">
        <f>Table2345345687911121514161718192021222324252627283456789101134567891011124[[#This Row],[Profit]]/3</f>
        <v>655</v>
      </c>
      <c r="D26" s="7">
        <f t="shared" si="0"/>
        <v>1965</v>
      </c>
      <c r="E26" s="7">
        <f t="shared" si="1"/>
        <v>4585</v>
      </c>
      <c r="F26" s="7">
        <f t="shared" si="2"/>
        <v>6550</v>
      </c>
      <c r="G26" s="7">
        <v>3150</v>
      </c>
      <c r="H26" s="7">
        <v>3400</v>
      </c>
      <c r="I26" s="7">
        <f>IFERROR(VLOOKUP(Table2345345687911121514161718192021222324252627283456789101134567891011124[[#This Row],[Date]],'April Expense'!H24:K274,3,0),0)</f>
        <v>150</v>
      </c>
      <c r="J26" s="7">
        <f>IFERROR(VLOOKUP(Table2345345687911121514161718192021222324252627283456789101134567891011124[[#This Row],[Date]],'April Expense'!H24:K274,4,0),0)</f>
        <v>2000</v>
      </c>
      <c r="K26" s="7">
        <f>Table2345345687911121514161718192021222324252627283456789101134567891011124[[#This Row],[Account Transfer]]-Table2345345687911121514161718192021222324252627283456789101134567891011124[[#This Row],[Expense Online]]</f>
        <v>1400</v>
      </c>
      <c r="L26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1035</v>
      </c>
      <c r="M26" s="7">
        <f>Table2345345687911121514161718192021222324252627283456789101134567891011124[[#This Row],[Cash]]-Table2345345687911121514161718192021222324252627283456789101134567891011124[[#This Row],[Expense]]</f>
        <v>3000</v>
      </c>
      <c r="N26" s="45"/>
      <c r="O26" s="8">
        <f t="shared" si="20"/>
        <v>45763</v>
      </c>
      <c r="P26" s="9">
        <f>Q26/3</f>
        <v>2710.5</v>
      </c>
      <c r="Q26" s="9">
        <f>S26*0.3</f>
        <v>8131.5</v>
      </c>
      <c r="R26" s="9">
        <f t="shared" si="21"/>
        <v>18973.5</v>
      </c>
      <c r="S26" s="9">
        <f t="shared" ref="S26:S31" si="25">T26+U26</f>
        <v>27105</v>
      </c>
      <c r="T26" s="9">
        <f t="shared" si="22"/>
        <v>18820</v>
      </c>
      <c r="U26" s="9">
        <f t="shared" si="23"/>
        <v>8285</v>
      </c>
      <c r="V26" s="9">
        <f t="shared" si="24"/>
        <v>400</v>
      </c>
    </row>
    <row r="27" spans="1:22" x14ac:dyDescent="0.35">
      <c r="A27" s="6">
        <v>45772</v>
      </c>
      <c r="B27" s="7">
        <f>Table2345345687911121514161718192021222324252627283456789101134567891011124[[#This Row],[Profit]]-Table2345345687911121514161718192021222324252627283456789101134567891011124[[#This Row],[Mulbhag]]</f>
        <v>3416</v>
      </c>
      <c r="C27" s="28">
        <f>Table2345345687911121514161718192021222324252627283456789101134567891011124[[#This Row],[Profit]]/3</f>
        <v>1708</v>
      </c>
      <c r="D27" s="7">
        <f t="shared" si="0"/>
        <v>5124</v>
      </c>
      <c r="E27" s="7">
        <f t="shared" si="1"/>
        <v>11956</v>
      </c>
      <c r="F27" s="7">
        <f t="shared" si="2"/>
        <v>17080</v>
      </c>
      <c r="G27" s="7">
        <v>8380</v>
      </c>
      <c r="H27" s="7">
        <v>8700</v>
      </c>
      <c r="I27" s="7">
        <f>IFERROR(VLOOKUP(Table2345345687911121514161718192021222324252627283456789101134567891011124[[#This Row],[Date]],'April Expense'!H25:K275,3,0),0)</f>
        <v>3120</v>
      </c>
      <c r="J27" s="7">
        <f>IFERROR(VLOOKUP(Table2345345687911121514161718192021222324252627283456789101134567891011124[[#This Row],[Date]],'April Expense'!H25:K275,4,0),0)</f>
        <v>0</v>
      </c>
      <c r="K27" s="7">
        <f>Table2345345687911121514161718192021222324252627283456789101134567891011124[[#This Row],[Account Transfer]]-Table2345345687911121514161718192021222324252627283456789101134567891011124[[#This Row],[Expense Online]]</f>
        <v>8700</v>
      </c>
      <c r="L27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136</v>
      </c>
      <c r="M27" s="7">
        <f>Table2345345687911121514161718192021222324252627283456789101134567891011124[[#This Row],[Cash]]-Table2345345687911121514161718192021222324252627283456789101134567891011124[[#This Row],[Expense]]</f>
        <v>5260</v>
      </c>
      <c r="N27" s="45"/>
      <c r="O27" s="10">
        <f t="shared" si="20"/>
        <v>45764</v>
      </c>
      <c r="P27" s="11">
        <f t="shared" ref="P27:P31" si="26">Q27/3</f>
        <v>1854.5</v>
      </c>
      <c r="Q27" s="11">
        <f t="shared" ref="Q27:Q31" si="27">S27*0.3</f>
        <v>5563.5</v>
      </c>
      <c r="R27" s="11">
        <f t="shared" si="21"/>
        <v>12981.5</v>
      </c>
      <c r="S27" s="11">
        <f t="shared" si="25"/>
        <v>18545</v>
      </c>
      <c r="T27" s="11">
        <f t="shared" si="22"/>
        <v>6230</v>
      </c>
      <c r="U27" s="11">
        <f t="shared" si="23"/>
        <v>12315</v>
      </c>
      <c r="V27" s="11">
        <f t="shared" si="24"/>
        <v>1130</v>
      </c>
    </row>
    <row r="28" spans="1:22" x14ac:dyDescent="0.35">
      <c r="A28" s="6">
        <v>45773</v>
      </c>
      <c r="B28" s="7">
        <f>Table2345345687911121514161718192021222324252627283456789101134567891011124[[#This Row],[Profit]]-Table2345345687911121514161718192021222324252627283456789101134567891011124[[#This Row],[Mulbhag]]</f>
        <v>2549.1999999999998</v>
      </c>
      <c r="C28" s="28">
        <f>Table2345345687911121514161718192021222324252627283456789101134567891011124[[#This Row],[Profit]]/3</f>
        <v>1274.5999999999999</v>
      </c>
      <c r="D28" s="7">
        <f t="shared" si="0"/>
        <v>3823.7999999999997</v>
      </c>
      <c r="E28" s="7">
        <f t="shared" si="1"/>
        <v>8922.2000000000007</v>
      </c>
      <c r="F28" s="7">
        <f t="shared" si="2"/>
        <v>12746</v>
      </c>
      <c r="G28" s="7">
        <v>9830</v>
      </c>
      <c r="H28" s="7">
        <v>2916</v>
      </c>
      <c r="I28" s="7">
        <f>IFERROR(VLOOKUP(Table2345345687911121514161718192021222324252627283456789101134567891011124[[#This Row],[Date]],'April Expense'!H26:K276,3,0),0)</f>
        <v>3500</v>
      </c>
      <c r="J28" s="7">
        <f>IFERROR(VLOOKUP(Table2345345687911121514161718192021222324252627283456789101134567891011124[[#This Row],[Date]],'April Expense'!H26:K276,4,0),0)</f>
        <v>3000</v>
      </c>
      <c r="K28" s="7">
        <f>Table2345345687911121514161718192021222324252627283456789101134567891011124[[#This Row],[Account Transfer]]-Table2345345687911121514161718192021222324252627283456789101134567891011124[[#This Row],[Expense Online]]</f>
        <v>-84</v>
      </c>
      <c r="L28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2506.1999999999998</v>
      </c>
      <c r="M28" s="7">
        <f>Table2345345687911121514161718192021222324252627283456789101134567891011124[[#This Row],[Cash]]-Table2345345687911121514161718192021222324252627283456789101134567891011124[[#This Row],[Expense]]</f>
        <v>6330</v>
      </c>
      <c r="N28" s="45">
        <v>120</v>
      </c>
      <c r="O28" s="8">
        <f t="shared" si="20"/>
        <v>45765</v>
      </c>
      <c r="P28" s="9">
        <f t="shared" si="26"/>
        <v>1825</v>
      </c>
      <c r="Q28" s="9">
        <f t="shared" si="27"/>
        <v>5475</v>
      </c>
      <c r="R28" s="9">
        <f t="shared" si="21"/>
        <v>12775</v>
      </c>
      <c r="S28" s="9">
        <f t="shared" si="25"/>
        <v>18250</v>
      </c>
      <c r="T28" s="9">
        <f t="shared" si="22"/>
        <v>4180</v>
      </c>
      <c r="U28" s="9">
        <f t="shared" si="23"/>
        <v>14070</v>
      </c>
      <c r="V28" s="9">
        <f t="shared" si="24"/>
        <v>1620</v>
      </c>
    </row>
    <row r="29" spans="1:22" x14ac:dyDescent="0.35">
      <c r="A29" s="6">
        <v>45774</v>
      </c>
      <c r="B29" s="7">
        <f>Table2345345687911121514161718192021222324252627283456789101134567891011124[[#This Row],[Profit]]-Table2345345687911121514161718192021222324252627283456789101134567891011124[[#This Row],[Mulbhag]]</f>
        <v>3783.5999999999995</v>
      </c>
      <c r="C29" s="43">
        <f>Table2345345687911121514161718192021222324252627283456789101134567891011124[[#This Row],[Profit]]/3</f>
        <v>1891.8</v>
      </c>
      <c r="D29" s="7">
        <f t="shared" si="0"/>
        <v>5675.4</v>
      </c>
      <c r="E29" s="7">
        <f t="shared" si="1"/>
        <v>13242.6</v>
      </c>
      <c r="F29" s="7">
        <f t="shared" si="2"/>
        <v>18918</v>
      </c>
      <c r="G29" s="7">
        <v>7380</v>
      </c>
      <c r="H29" s="7">
        <f>12938-2200+800</f>
        <v>11538</v>
      </c>
      <c r="I29" s="7">
        <f>IFERROR(VLOOKUP(Table2345345687911121514161718192021222324252627283456789101134567891011124[[#This Row],[Date]],'April Expense'!H27:K277,3,0),0)</f>
        <v>630</v>
      </c>
      <c r="J29" s="7">
        <f>IFERROR(VLOOKUP(Table2345345687911121514161718192021222324252627283456789101134567891011124[[#This Row],[Date]],'April Expense'!H27:K277,4,0),0)</f>
        <v>10000</v>
      </c>
      <c r="K29" s="7">
        <f>Table2345345687911121514161718192021222324252627283456789101134567891011124[[#This Row],[Account Transfer]]-Table2345345687911121514161718192021222324252627283456789101134567891011124[[#This Row],[Expense Online]]</f>
        <v>1538</v>
      </c>
      <c r="L29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1074.6000000000004</v>
      </c>
      <c r="M29" s="7">
        <f>Table2345345687911121514161718192021222324252627283456789101134567891011124[[#This Row],[Cash]]-Table2345345687911121514161718192021222324252627283456789101134567891011124[[#This Row],[Expense]]</f>
        <v>6750</v>
      </c>
      <c r="N29" s="45"/>
      <c r="O29" s="10">
        <f t="shared" si="20"/>
        <v>45766</v>
      </c>
      <c r="P29" s="11">
        <f t="shared" si="26"/>
        <v>1257</v>
      </c>
      <c r="Q29" s="11">
        <f t="shared" si="27"/>
        <v>3771</v>
      </c>
      <c r="R29" s="11">
        <f t="shared" si="21"/>
        <v>8799</v>
      </c>
      <c r="S29" s="11">
        <f t="shared" si="25"/>
        <v>12570</v>
      </c>
      <c r="T29" s="11">
        <f t="shared" si="22"/>
        <v>4530</v>
      </c>
      <c r="U29" s="11">
        <f t="shared" si="23"/>
        <v>8040</v>
      </c>
      <c r="V29" s="11">
        <f t="shared" si="24"/>
        <v>110</v>
      </c>
    </row>
    <row r="30" spans="1:22" x14ac:dyDescent="0.35">
      <c r="A30" s="6">
        <v>45775</v>
      </c>
      <c r="B30" s="7">
        <f>Table2345345687911121514161718192021222324252627283456789101134567891011124[[#This Row],[Profit]]-Table2345345687911121514161718192021222324252627283456789101134567891011124[[#This Row],[Mulbhag]]</f>
        <v>2748</v>
      </c>
      <c r="C30" s="43">
        <f>Table2345345687911121514161718192021222324252627283456789101134567891011124[[#This Row],[Profit]]/3</f>
        <v>1374</v>
      </c>
      <c r="D30" s="7">
        <f t="shared" si="0"/>
        <v>4122</v>
      </c>
      <c r="E30" s="7">
        <f t="shared" si="1"/>
        <v>9618</v>
      </c>
      <c r="F30" s="7">
        <f t="shared" si="2"/>
        <v>13740</v>
      </c>
      <c r="G30" s="7">
        <v>1540</v>
      </c>
      <c r="H30" s="7">
        <f>3100+8100+1000</f>
        <v>12200</v>
      </c>
      <c r="I30" s="7">
        <f>IFERROR(VLOOKUP(Table2345345687911121514161718192021222324252627283456789101134567891011124[[#This Row],[Date]],'April Expense'!H28:K278,3,0),0)</f>
        <v>90</v>
      </c>
      <c r="J30" s="7">
        <f>IFERROR(VLOOKUP(Table2345345687911121514161718192021222324252627283456789101134567891011124[[#This Row],[Date]],'April Expense'!H28:K278,4,0),0)</f>
        <v>0</v>
      </c>
      <c r="K30" s="7">
        <f>Table2345345687911121514161718192021222324252627283456789101134567891011124[[#This Row],[Account Transfer]]-Table2345345687911121514161718192021222324252627283456789101134567891011124[[#This Row],[Expense Online]]</f>
        <v>12200</v>
      </c>
      <c r="L30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-2672</v>
      </c>
      <c r="M30" s="7">
        <f>Table2345345687911121514161718192021222324252627283456789101134567891011124[[#This Row],[Cash]]-Table2345345687911121514161718192021222324252627283456789101134567891011124[[#This Row],[Expense]]</f>
        <v>1450</v>
      </c>
      <c r="N30" s="45"/>
      <c r="O30" s="8">
        <f t="shared" si="20"/>
        <v>45767</v>
      </c>
      <c r="P30" s="9">
        <f t="shared" si="26"/>
        <v>2914</v>
      </c>
      <c r="Q30" s="9">
        <f t="shared" si="27"/>
        <v>8742</v>
      </c>
      <c r="R30" s="9">
        <f t="shared" si="21"/>
        <v>20398</v>
      </c>
      <c r="S30" s="9">
        <f t="shared" si="25"/>
        <v>29140</v>
      </c>
      <c r="T30" s="9">
        <f t="shared" si="22"/>
        <v>2870</v>
      </c>
      <c r="U30" s="9">
        <f t="shared" si="23"/>
        <v>26270</v>
      </c>
      <c r="V30" s="9">
        <f t="shared" si="24"/>
        <v>50960</v>
      </c>
    </row>
    <row r="31" spans="1:22" x14ac:dyDescent="0.35">
      <c r="A31" s="6">
        <v>45776</v>
      </c>
      <c r="B31" s="7">
        <f>Table2345345687911121514161718192021222324252627283456789101134567891011124[[#This Row],[Profit]]-Table2345345687911121514161718192021222324252627283456789101134567891011124[[#This Row],[Mulbhag]]</f>
        <v>1824</v>
      </c>
      <c r="C31" s="43">
        <f>Table2345345687911121514161718192021222324252627283456789101134567891011124[[#This Row],[Profit]]/3</f>
        <v>912</v>
      </c>
      <c r="D31" s="7">
        <f t="shared" si="0"/>
        <v>2736</v>
      </c>
      <c r="E31" s="7">
        <f t="shared" si="1"/>
        <v>6384</v>
      </c>
      <c r="F31" s="7">
        <f t="shared" si="2"/>
        <v>9120</v>
      </c>
      <c r="G31" s="7">
        <v>2300</v>
      </c>
      <c r="H31" s="7">
        <v>6820</v>
      </c>
      <c r="I31" s="7">
        <f>IFERROR(VLOOKUP(Table2345345687911121514161718192021222324252627283456789101134567891011124[[#This Row],[Date]],'April Expense'!H29:K279,3,0),0)</f>
        <v>2500</v>
      </c>
      <c r="J31" s="7">
        <f>IFERROR(VLOOKUP(Table2345345687911121514161718192021222324252627283456789101134567891011124[[#This Row],[Date]],'April Expense'!H29:K279,4,0),0)</f>
        <v>8500</v>
      </c>
      <c r="K31" s="7">
        <f>Table2345345687911121514161718192021222324252627283456789101134567891011124[[#This Row],[Account Transfer]]-Table2345345687911121514161718192021222324252627283456789101134567891011124[[#This Row],[Expense Online]]</f>
        <v>-1680</v>
      </c>
      <c r="L31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-2936</v>
      </c>
      <c r="M31" s="7">
        <f>Table2345345687911121514161718192021222324252627283456789101134567891011124[[#This Row],[Cash]]-Table2345345687911121514161718192021222324252627283456789101134567891011124[[#This Row],[Expense]]</f>
        <v>-200</v>
      </c>
      <c r="N31" s="45"/>
      <c r="O31" s="10">
        <f t="shared" si="20"/>
        <v>45768</v>
      </c>
      <c r="P31" s="11">
        <f t="shared" si="26"/>
        <v>3839</v>
      </c>
      <c r="Q31" s="11">
        <f t="shared" si="27"/>
        <v>11517</v>
      </c>
      <c r="R31" s="11">
        <f t="shared" si="21"/>
        <v>26873</v>
      </c>
      <c r="S31" s="11">
        <f t="shared" si="25"/>
        <v>38390</v>
      </c>
      <c r="T31" s="11">
        <f t="shared" si="22"/>
        <v>10500</v>
      </c>
      <c r="U31" s="11">
        <f t="shared" si="23"/>
        <v>27890</v>
      </c>
      <c r="V31" s="11">
        <f t="shared" si="24"/>
        <v>350</v>
      </c>
    </row>
    <row r="32" spans="1:22" x14ac:dyDescent="0.35">
      <c r="A32" s="6">
        <v>45777</v>
      </c>
      <c r="B32" s="7">
        <f>Table2345345687911121514161718192021222324252627283456789101134567891011124[[#This Row],[Profit]]-Table2345345687911121514161718192021222324252627283456789101134567891011124[[#This Row],[Mulbhag]]</f>
        <v>4870.2000000000007</v>
      </c>
      <c r="C32" s="43">
        <f>Table2345345687911121514161718192021222324252627283456789101134567891011124[[#This Row],[Profit]]/3</f>
        <v>2435.1</v>
      </c>
      <c r="D32" s="7">
        <f t="shared" si="0"/>
        <v>7305.3</v>
      </c>
      <c r="E32" s="7">
        <f t="shared" si="1"/>
        <v>17045.7</v>
      </c>
      <c r="F32" s="7">
        <f t="shared" si="2"/>
        <v>24351</v>
      </c>
      <c r="G32" s="7">
        <v>6830</v>
      </c>
      <c r="H32" s="7">
        <f>13721+3000+800</f>
        <v>17521</v>
      </c>
      <c r="I32" s="7">
        <f>IFERROR(VLOOKUP(Table2345345687911121514161718192021222324252627283456789101134567891011124[[#This Row],[Date]],'April Expense'!H30:K280,3,0),0)</f>
        <v>580</v>
      </c>
      <c r="J32" s="7">
        <f>IFERROR(VLOOKUP(Table2345345687911121514161718192021222324252627283456789101134567891011124[[#This Row],[Date]],'April Expense'!H30:K280,4,0),0)</f>
        <v>0</v>
      </c>
      <c r="K32" s="7">
        <f>Table2345345687911121514161718192021222324252627283456789101134567891011124[[#This Row],[Account Transfer]]-Table2345345687911121514161718192021222324252627283456789101134567891011124[[#This Row],[Expense Online]]</f>
        <v>17521</v>
      </c>
      <c r="L32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-1055.3000000000011</v>
      </c>
      <c r="M32" s="7">
        <f>Table2345345687911121514161718192021222324252627283456789101134567891011124[[#This Row],[Cash]]-Table2345345687911121514161718192021222324252627283456789101134567891011124[[#This Row],[Expense]]</f>
        <v>6250</v>
      </c>
      <c r="N32" s="45"/>
      <c r="O32" s="12" t="s">
        <v>3</v>
      </c>
      <c r="P32" s="12">
        <f>SUM(P25:P31)</f>
        <v>16632</v>
      </c>
      <c r="Q32" s="11">
        <f t="shared" ref="Q32:V32" si="28">SUM(Q25:Q31)</f>
        <v>49896</v>
      </c>
      <c r="R32" s="11">
        <f t="shared" si="28"/>
        <v>116424</v>
      </c>
      <c r="S32" s="11">
        <f t="shared" si="28"/>
        <v>166320</v>
      </c>
      <c r="T32" s="11">
        <f t="shared" si="28"/>
        <v>53740</v>
      </c>
      <c r="U32" s="11">
        <f t="shared" si="28"/>
        <v>112580</v>
      </c>
      <c r="V32" s="11">
        <f t="shared" si="28"/>
        <v>55670</v>
      </c>
    </row>
    <row r="33" spans="1:22" x14ac:dyDescent="0.35">
      <c r="A33" s="6">
        <v>45778</v>
      </c>
      <c r="B33" s="7">
        <f>Table2345345687911121514161718192021222324252627283456789101134567891011124[[#This Row],[Profit]]-Table2345345687911121514161718192021222324252627283456789101134567891011124[[#This Row],[Mulbhag]]</f>
        <v>0</v>
      </c>
      <c r="C33" s="43">
        <f>Table2345345687911121514161718192021222324252627283456789101134567891011124[[#This Row],[Profit]]/3</f>
        <v>0</v>
      </c>
      <c r="D33" s="7">
        <f t="shared" si="0"/>
        <v>0</v>
      </c>
      <c r="E33" s="7">
        <f t="shared" si="1"/>
        <v>0</v>
      </c>
      <c r="F33" s="7">
        <f t="shared" si="2"/>
        <v>0</v>
      </c>
      <c r="G33" s="7"/>
      <c r="H33" s="7"/>
      <c r="I33" s="7">
        <f>IFERROR(VLOOKUP(Table2345345687911121514161718192021222324252627283456789101134567891011124[[#This Row],[Date]],'April Expense'!H31:K281,3,0),0)</f>
        <v>0</v>
      </c>
      <c r="J33" s="7">
        <f>IFERROR(VLOOKUP(Table2345345687911121514161718192021222324252627283456789101134567891011124[[#This Row],[Date]],'April Expense'!H31:K281,4,0),0)</f>
        <v>0</v>
      </c>
      <c r="K33" s="7">
        <f>Table2345345687911121514161718192021222324252627283456789101134567891011124[[#This Row],[Account Transfer]]-Table2345345687911121514161718192021222324252627283456789101134567891011124[[#This Row],[Expense Online]]</f>
        <v>0</v>
      </c>
      <c r="L33" s="7">
        <f>Table2345345687911121514161718192021222324252627283456789101134567891011124[[#This Row],[Cash]]-Table2345345687911121514161718192021222324252627283456789101134567891011124[[#This Row],[Mulbhag]]-Table2345345687911121514161718192021222324252627283456789101134567891011124[[#This Row],[Actual Profit]]-Table2345345687911121514161718192021222324252627283456789101134567891011124[[#This Row],[Expense]]</f>
        <v>0</v>
      </c>
      <c r="M33" s="7">
        <f>Table2345345687911121514161718192021222324252627283456789101134567891011124[[#This Row],[Cash]]-Table2345345687911121514161718192021222324252627283456789101134567891011124[[#This Row],[Expense]]</f>
        <v>0</v>
      </c>
      <c r="N33" s="47"/>
      <c r="O33" s="12" t="s">
        <v>7</v>
      </c>
      <c r="P33" s="9"/>
      <c r="Q33" s="9">
        <f>Q32/3</f>
        <v>16632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SUBTOTAL(109,Table2345345687911121514161718192021222324252627283456789101134567891011124[Actual Profit])</f>
        <v>109485.4</v>
      </c>
      <c r="C34" s="16">
        <f>SUBTOTAL(109,Table2345345687911121514161718192021222324252627283456789101134567891011124[Mulbhag])</f>
        <v>54742.7</v>
      </c>
      <c r="D34" s="16">
        <f>SUBTOTAL(109,Table2345345687911121514161718192021222324252627283456789101134567891011124[Profit])</f>
        <v>164228.09999999998</v>
      </c>
      <c r="E34" s="16">
        <f>SUBTOTAL(109,Table2345345687911121514161718192021222324252627283456789101134567891011124[Profit])</f>
        <v>164228.09999999998</v>
      </c>
      <c r="F34" s="16">
        <f>SUM(F3:F33)</f>
        <v>547427</v>
      </c>
      <c r="G34" s="16">
        <f>SUBTOTAL(109,Table2345345687911121514161718192021222324252627283456789101134567891011124[Profit])</f>
        <v>164228.09999999998</v>
      </c>
      <c r="H34" s="16">
        <f>SUBTOTAL(109,Table2345345687911121514161718192021222324252627283456789101134567891011124[Profit])</f>
        <v>164228.09999999998</v>
      </c>
      <c r="I34" s="16">
        <f>SUM(I5:I33)</f>
        <v>86385</v>
      </c>
      <c r="J34" s="16">
        <f>SUBTOTAL(109,Table2345345687911121514161718192021222324252627283456789101134567891011124[Expense Online])</f>
        <v>215187</v>
      </c>
      <c r="K34" s="16">
        <f>SUBTOTAL(109,Table2345345687911121514161718192021222324252627283456789101134567891011124[Account Balance])</f>
        <v>97090</v>
      </c>
      <c r="L34" s="16">
        <f>SUM(L5:L33)</f>
        <v>-23899.600000000006</v>
      </c>
      <c r="M34" s="16">
        <f>SUBTOTAL(109,Table2345345687911121514161718192021222324252627283456789101134567891011124[Actual Balance])</f>
        <v>146255</v>
      </c>
    </row>
    <row r="35" spans="1:22" x14ac:dyDescent="0.35">
      <c r="A35" s="17"/>
      <c r="B35" s="18"/>
      <c r="C35" s="18"/>
      <c r="D35" s="18">
        <f>D34/3</f>
        <v>54742.69999999999</v>
      </c>
      <c r="E35" s="18"/>
      <c r="F35" s="18"/>
      <c r="G35" s="18">
        <f>F34*0.42</f>
        <v>229919.34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9.9999999999999982</v>
      </c>
      <c r="E36" s="18"/>
      <c r="F36" s="18"/>
      <c r="G36" s="18">
        <f>G35/3</f>
        <v>76639.78</v>
      </c>
      <c r="H36" s="18"/>
      <c r="I36" s="18"/>
      <c r="J36" s="18"/>
      <c r="K36" s="18"/>
      <c r="L36" s="18"/>
      <c r="M36" s="18"/>
      <c r="O36" s="8">
        <f t="shared" ref="O36:O40" si="29">A24</f>
        <v>45769</v>
      </c>
      <c r="P36" s="11">
        <f>Q36/3</f>
        <v>571</v>
      </c>
      <c r="Q36" s="11">
        <f>S36*0.3</f>
        <v>1713</v>
      </c>
      <c r="R36" s="11">
        <f t="shared" ref="R36:R41" si="30">S36-Q36</f>
        <v>3997</v>
      </c>
      <c r="S36" s="11">
        <f>T36+U36</f>
        <v>5710</v>
      </c>
      <c r="T36" s="11">
        <f t="shared" ref="T36:T41" si="31">VLOOKUP(O36,$A$1:$J$34,7,0)</f>
        <v>2280</v>
      </c>
      <c r="U36" s="11">
        <f t="shared" ref="U36:U41" si="32">VLOOKUP(O36,$A$1:$J$34,8,0)</f>
        <v>3430</v>
      </c>
      <c r="V36" s="11">
        <f t="shared" ref="V36:V41" si="33">VLOOKUP(O36,$A$1:$J$34,9,0)</f>
        <v>1010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45770</v>
      </c>
      <c r="P37" s="9">
        <f>Q37/3</f>
        <v>2852</v>
      </c>
      <c r="Q37" s="9">
        <f>S37*0.3</f>
        <v>8556</v>
      </c>
      <c r="R37" s="9">
        <f t="shared" si="30"/>
        <v>19964</v>
      </c>
      <c r="S37" s="9">
        <f t="shared" ref="S37:S41" si="34">T37+U37</f>
        <v>28520</v>
      </c>
      <c r="T37" s="9">
        <f t="shared" si="31"/>
        <v>2470</v>
      </c>
      <c r="U37" s="9">
        <f t="shared" si="32"/>
        <v>26050</v>
      </c>
      <c r="V37" s="9">
        <f t="shared" si="33"/>
        <v>1910</v>
      </c>
    </row>
    <row r="38" spans="1:22" x14ac:dyDescent="0.35">
      <c r="A38" s="20" t="str">
        <f>CONCATENATE(TEXT(O3,"DD-MMM-YYY")," to ",TEXT(O9,"DD-MMM-YYYY"))</f>
        <v>01-Apr-2025 to 07-Apr-2025</v>
      </c>
      <c r="B38" s="11">
        <f>D38-C38</f>
        <v>24487.599999999999</v>
      </c>
      <c r="C38" s="11">
        <f>D38/3</f>
        <v>12243.800000000001</v>
      </c>
      <c r="D38" s="11">
        <f>Q10</f>
        <v>36731.4</v>
      </c>
      <c r="E38" s="11">
        <f t="shared" ref="E38:I38" si="35">R10</f>
        <v>85706.6</v>
      </c>
      <c r="F38" s="11">
        <f t="shared" si="35"/>
        <v>122438</v>
      </c>
      <c r="G38" s="11">
        <f t="shared" si="35"/>
        <v>51396</v>
      </c>
      <c r="H38" s="11">
        <f t="shared" si="35"/>
        <v>71042</v>
      </c>
      <c r="I38" s="11">
        <f t="shared" si="35"/>
        <v>7835</v>
      </c>
      <c r="J38" s="11"/>
      <c r="K38" s="11"/>
      <c r="L38" s="11"/>
      <c r="M38" s="11"/>
      <c r="O38" s="10">
        <f t="shared" si="29"/>
        <v>45771</v>
      </c>
      <c r="P38" s="11">
        <f t="shared" ref="P38:P41" si="36">Q38/3</f>
        <v>655</v>
      </c>
      <c r="Q38" s="11">
        <f t="shared" ref="Q38:Q41" si="37">S38*0.3</f>
        <v>1965</v>
      </c>
      <c r="R38" s="11">
        <f t="shared" si="30"/>
        <v>4585</v>
      </c>
      <c r="S38" s="11">
        <f t="shared" si="34"/>
        <v>6550</v>
      </c>
      <c r="T38" s="11">
        <f t="shared" si="31"/>
        <v>3150</v>
      </c>
      <c r="U38" s="11">
        <f t="shared" si="32"/>
        <v>3400</v>
      </c>
      <c r="V38" s="11">
        <f t="shared" si="33"/>
        <v>150</v>
      </c>
    </row>
    <row r="39" spans="1:22" x14ac:dyDescent="0.35">
      <c r="A39" s="20" t="str">
        <f>CONCATENATE(TEXT(O14,"DD-MMM-YYY")," to ",TEXT(O20,"DD-MMM-YYYY"))</f>
        <v>08-Apr-2025 to 14-Apr-2025</v>
      </c>
      <c r="B39" s="9">
        <f t="shared" ref="B39:B42" si="38">D39-C39</f>
        <v>24386.799999999996</v>
      </c>
      <c r="C39" s="9">
        <f t="shared" ref="C39:C42" si="39">D39/3</f>
        <v>12193.4</v>
      </c>
      <c r="D39" s="9">
        <f>Q21</f>
        <v>36580.199999999997</v>
      </c>
      <c r="E39" s="9">
        <f t="shared" ref="E39:I39" si="40">R21</f>
        <v>85353.8</v>
      </c>
      <c r="F39" s="9">
        <f t="shared" si="40"/>
        <v>121934</v>
      </c>
      <c r="G39" s="9">
        <f t="shared" si="40"/>
        <v>85854</v>
      </c>
      <c r="H39" s="9">
        <f t="shared" si="40"/>
        <v>36080</v>
      </c>
      <c r="I39" s="9">
        <f t="shared" si="40"/>
        <v>11900</v>
      </c>
      <c r="J39" s="9"/>
      <c r="K39" s="9"/>
      <c r="L39" s="9"/>
      <c r="M39" s="9"/>
      <c r="O39" s="8">
        <f t="shared" si="29"/>
        <v>45772</v>
      </c>
      <c r="P39" s="9">
        <f t="shared" si="36"/>
        <v>1708</v>
      </c>
      <c r="Q39" s="9">
        <f t="shared" si="37"/>
        <v>5124</v>
      </c>
      <c r="R39" s="9">
        <f t="shared" si="30"/>
        <v>11956</v>
      </c>
      <c r="S39" s="9">
        <f t="shared" si="34"/>
        <v>17080</v>
      </c>
      <c r="T39" s="9">
        <f t="shared" si="31"/>
        <v>8380</v>
      </c>
      <c r="U39" s="9">
        <f t="shared" si="32"/>
        <v>8700</v>
      </c>
      <c r="V39" s="9">
        <f t="shared" si="33"/>
        <v>3120</v>
      </c>
    </row>
    <row r="40" spans="1:22" x14ac:dyDescent="0.35">
      <c r="A40" s="20" t="str">
        <f>CONCATENATE(TEXT(O25,"DD-MMM-YYY")," to ",TEXT(O31,"DD-MMM-YYYY"))</f>
        <v>15-Apr-2025 to 21-Apr-2025</v>
      </c>
      <c r="B40" s="11">
        <f t="shared" si="38"/>
        <v>33264</v>
      </c>
      <c r="C40" s="11">
        <f t="shared" si="39"/>
        <v>16632</v>
      </c>
      <c r="D40" s="11">
        <f>Q32</f>
        <v>49896</v>
      </c>
      <c r="E40" s="11">
        <f t="shared" ref="E40:I40" si="41">R32</f>
        <v>116424</v>
      </c>
      <c r="F40" s="11">
        <f t="shared" si="41"/>
        <v>166320</v>
      </c>
      <c r="G40" s="11">
        <f t="shared" si="41"/>
        <v>53740</v>
      </c>
      <c r="H40" s="11">
        <f t="shared" si="41"/>
        <v>112580</v>
      </c>
      <c r="I40" s="11">
        <f t="shared" si="41"/>
        <v>55670</v>
      </c>
      <c r="J40" s="11"/>
      <c r="K40" s="11"/>
      <c r="L40" s="11"/>
      <c r="M40" s="11"/>
      <c r="O40" s="10">
        <f t="shared" si="29"/>
        <v>45773</v>
      </c>
      <c r="P40" s="11">
        <f t="shared" si="36"/>
        <v>1274.5999999999999</v>
      </c>
      <c r="Q40" s="11">
        <f t="shared" si="37"/>
        <v>3823.7999999999997</v>
      </c>
      <c r="R40" s="11">
        <f t="shared" si="30"/>
        <v>8922.2000000000007</v>
      </c>
      <c r="S40" s="11">
        <f t="shared" si="34"/>
        <v>12746</v>
      </c>
      <c r="T40" s="11">
        <f t="shared" si="31"/>
        <v>9830</v>
      </c>
      <c r="U40" s="11">
        <f t="shared" si="32"/>
        <v>2916</v>
      </c>
      <c r="V40" s="11">
        <f t="shared" si="33"/>
        <v>3500</v>
      </c>
    </row>
    <row r="41" spans="1:22" x14ac:dyDescent="0.35">
      <c r="A41" s="20" t="str">
        <f>CONCATENATE(TEXT(O36,"DD-MMM-YYY")," to ",TEXT(O41,"DD-MMM-YYYY"))</f>
        <v>22-Apr-2025 to 01-May-2025</v>
      </c>
      <c r="B41" s="9">
        <f t="shared" si="38"/>
        <v>14121.2</v>
      </c>
      <c r="C41" s="9">
        <f t="shared" si="39"/>
        <v>7060.5999999999995</v>
      </c>
      <c r="D41" s="9">
        <f>Q42</f>
        <v>21181.8</v>
      </c>
      <c r="E41" s="9">
        <f t="shared" ref="E41:I41" si="42">R42</f>
        <v>49424.2</v>
      </c>
      <c r="F41" s="9">
        <f t="shared" si="42"/>
        <v>70606</v>
      </c>
      <c r="G41" s="9">
        <f t="shared" si="42"/>
        <v>26110</v>
      </c>
      <c r="H41" s="9">
        <f t="shared" si="42"/>
        <v>44496</v>
      </c>
      <c r="I41" s="9">
        <f t="shared" si="42"/>
        <v>9690</v>
      </c>
      <c r="J41" s="9"/>
      <c r="K41" s="9"/>
      <c r="L41" s="9"/>
      <c r="M41" s="9"/>
      <c r="O41" s="8">
        <f>A33</f>
        <v>45778</v>
      </c>
      <c r="P41" s="9">
        <f t="shared" si="36"/>
        <v>0</v>
      </c>
      <c r="Q41" s="9">
        <f t="shared" si="37"/>
        <v>0</v>
      </c>
      <c r="R41" s="9">
        <f t="shared" si="30"/>
        <v>0</v>
      </c>
      <c r="S41" s="9">
        <f t="shared" si="34"/>
        <v>0</v>
      </c>
      <c r="T41" s="9">
        <f t="shared" si="31"/>
        <v>0</v>
      </c>
      <c r="U41" s="9">
        <f t="shared" si="32"/>
        <v>0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01-Apr-2025 to 01-May-2025</v>
      </c>
      <c r="B42" s="9">
        <f t="shared" si="38"/>
        <v>96259.6</v>
      </c>
      <c r="C42" s="9">
        <f t="shared" si="39"/>
        <v>48129.799999999996</v>
      </c>
      <c r="D42" s="9">
        <f t="shared" ref="D42:I42" si="43">SUM(D38:D41)</f>
        <v>144389.4</v>
      </c>
      <c r="E42" s="9">
        <f t="shared" si="43"/>
        <v>336908.60000000003</v>
      </c>
      <c r="F42" s="9">
        <f t="shared" si="43"/>
        <v>481298</v>
      </c>
      <c r="G42" s="9">
        <f t="shared" si="43"/>
        <v>217100</v>
      </c>
      <c r="H42" s="9">
        <f t="shared" si="43"/>
        <v>264198</v>
      </c>
      <c r="I42" s="9">
        <f t="shared" si="43"/>
        <v>85095</v>
      </c>
      <c r="J42" s="9"/>
      <c r="K42" s="9"/>
      <c r="L42" s="9"/>
      <c r="M42" s="9"/>
      <c r="O42" s="12" t="s">
        <v>3</v>
      </c>
      <c r="P42" s="12">
        <f t="shared" ref="P42:V42" si="44">SUM(P36:P41)</f>
        <v>7060.6</v>
      </c>
      <c r="Q42" s="11">
        <f t="shared" si="44"/>
        <v>21181.8</v>
      </c>
      <c r="R42" s="9">
        <f t="shared" si="44"/>
        <v>49424.2</v>
      </c>
      <c r="S42" s="9">
        <f t="shared" si="44"/>
        <v>70606</v>
      </c>
      <c r="T42" s="9">
        <f t="shared" si="44"/>
        <v>26110</v>
      </c>
      <c r="U42" s="9">
        <f t="shared" si="44"/>
        <v>44496</v>
      </c>
      <c r="V42" s="9">
        <f t="shared" si="44"/>
        <v>9690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7060.5999999999995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45752</v>
      </c>
      <c r="P47" s="9"/>
      <c r="Q47" s="9">
        <f t="shared" ref="Q47:V47" si="45">SUM(D8:D33)</f>
        <v>135745.19999999998</v>
      </c>
      <c r="R47" s="9">
        <f t="shared" si="45"/>
        <v>316738.8</v>
      </c>
      <c r="S47" s="9">
        <f t="shared" si="45"/>
        <v>452484</v>
      </c>
      <c r="T47" s="9">
        <f t="shared" si="45"/>
        <v>194514</v>
      </c>
      <c r="U47" s="9">
        <f t="shared" si="45"/>
        <v>257970</v>
      </c>
      <c r="V47" s="9">
        <f t="shared" si="45"/>
        <v>82645</v>
      </c>
    </row>
    <row r="48" spans="1:22" x14ac:dyDescent="0.35">
      <c r="O48" s="12" t="s">
        <v>7</v>
      </c>
      <c r="P48" s="11"/>
      <c r="Q48" s="11">
        <f>Q47/3</f>
        <v>45248.399999999994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D33F-6EC6-410B-BA40-C4A9F82E6900}">
  <dimension ref="A1:K219"/>
  <sheetViews>
    <sheetView topLeftCell="A117" zoomScale="104" workbookViewId="0">
      <selection activeCell="A127" sqref="A127"/>
    </sheetView>
  </sheetViews>
  <sheetFormatPr defaultRowHeight="14.5" x14ac:dyDescent="0.35"/>
  <cols>
    <col min="1" max="1" width="23.72656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2.54296875" style="26" bestFit="1" customWidth="1"/>
    <col min="9" max="9" width="11.08984375" bestFit="1" customWidth="1"/>
    <col min="10" max="10" width="11.1796875" bestFit="1" customWidth="1"/>
    <col min="11" max="11" width="21.179687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34" t="s">
        <v>44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45748</v>
      </c>
      <c r="B2" s="23">
        <v>250</v>
      </c>
      <c r="C2" s="23"/>
      <c r="D2" s="23">
        <f>Table23453456879111215141617181920212223242526272834567891011345678910111235[[#This Row],[Cash]]+Table23453456879111215141617181920212223242526272834567891011345678910111235[[#This Row],[Account Transfer]]</f>
        <v>250</v>
      </c>
      <c r="E2" s="22" t="s">
        <v>78</v>
      </c>
      <c r="F2" s="36" t="s">
        <v>78</v>
      </c>
      <c r="H2" s="26" t="s">
        <v>3</v>
      </c>
      <c r="I2" s="27"/>
      <c r="J2" s="27"/>
      <c r="K2" s="27"/>
    </row>
    <row r="3" spans="1:11" x14ac:dyDescent="0.35">
      <c r="A3" s="35">
        <v>45748</v>
      </c>
      <c r="B3" s="23">
        <v>100</v>
      </c>
      <c r="C3" s="23"/>
      <c r="D3" s="23">
        <f>Table23453456879111215141617181920212223242526272834567891011345678910111235[[#This Row],[Cash]]+Table23453456879111215141617181920212223242526272834567891011345678910111235[[#This Row],[Account Transfer]]</f>
        <v>100</v>
      </c>
      <c r="E3" s="22" t="s">
        <v>101</v>
      </c>
      <c r="F3" s="36" t="s">
        <v>74</v>
      </c>
      <c r="H3" s="26" t="s">
        <v>72</v>
      </c>
      <c r="I3">
        <v>0</v>
      </c>
    </row>
    <row r="4" spans="1:11" x14ac:dyDescent="0.35">
      <c r="A4" s="35">
        <v>45748</v>
      </c>
      <c r="B4" s="23"/>
      <c r="C4" s="23">
        <v>200</v>
      </c>
      <c r="D4" s="23">
        <f>Table23453456879111215141617181920212223242526272834567891011345678910111235[[#This Row],[Cash]]+Table23453456879111215141617181920212223242526272834567891011345678910111235[[#This Row],[Account Transfer]]</f>
        <v>200</v>
      </c>
      <c r="E4" s="22" t="s">
        <v>102</v>
      </c>
      <c r="F4" s="36" t="s">
        <v>103</v>
      </c>
      <c r="H4" s="26">
        <v>45748</v>
      </c>
      <c r="I4">
        <v>2750</v>
      </c>
      <c r="J4">
        <v>350</v>
      </c>
      <c r="K4">
        <v>2400</v>
      </c>
    </row>
    <row r="5" spans="1:11" x14ac:dyDescent="0.35">
      <c r="A5" s="35">
        <v>45748</v>
      </c>
      <c r="B5" s="23"/>
      <c r="C5" s="23">
        <v>750</v>
      </c>
      <c r="D5" s="23">
        <f>Table23453456879111215141617181920212223242526272834567891011345678910111235[[#This Row],[Cash]]+Table23453456879111215141617181920212223242526272834567891011345678910111235[[#This Row],[Account Transfer]]</f>
        <v>750</v>
      </c>
      <c r="E5" s="22" t="s">
        <v>104</v>
      </c>
      <c r="F5" s="36" t="s">
        <v>103</v>
      </c>
      <c r="H5" s="26">
        <v>45749</v>
      </c>
      <c r="I5">
        <v>2160</v>
      </c>
      <c r="J5">
        <v>2160</v>
      </c>
    </row>
    <row r="6" spans="1:11" x14ac:dyDescent="0.35">
      <c r="A6" s="35">
        <v>45748</v>
      </c>
      <c r="B6" s="23"/>
      <c r="C6" s="23">
        <v>350</v>
      </c>
      <c r="D6" s="23">
        <f>Table23453456879111215141617181920212223242526272834567891011345678910111235[[#This Row],[Cash]]+Table23453456879111215141617181920212223242526272834567891011345678910111235[[#This Row],[Account Transfer]]</f>
        <v>350</v>
      </c>
      <c r="E6" s="22" t="s">
        <v>73</v>
      </c>
      <c r="F6" s="36" t="s">
        <v>74</v>
      </c>
      <c r="H6" s="26">
        <v>45750</v>
      </c>
      <c r="I6">
        <v>270</v>
      </c>
      <c r="J6">
        <v>270</v>
      </c>
    </row>
    <row r="7" spans="1:11" x14ac:dyDescent="0.35">
      <c r="A7" s="35">
        <v>45748</v>
      </c>
      <c r="B7" s="23"/>
      <c r="C7" s="23">
        <v>1100</v>
      </c>
      <c r="D7" s="23">
        <f>Table23453456879111215141617181920212223242526272834567891011345678910111235[[#This Row],[Cash]]+Table23453456879111215141617181920212223242526272834567891011345678910111235[[#This Row],[Account Transfer]]</f>
        <v>1100</v>
      </c>
      <c r="E7" s="22" t="s">
        <v>105</v>
      </c>
      <c r="F7" s="36" t="s">
        <v>45</v>
      </c>
      <c r="H7" s="26">
        <v>45751</v>
      </c>
      <c r="I7">
        <v>1870</v>
      </c>
      <c r="J7">
        <v>1570</v>
      </c>
      <c r="K7">
        <v>300</v>
      </c>
    </row>
    <row r="8" spans="1:11" x14ac:dyDescent="0.35">
      <c r="A8" s="35">
        <v>45749</v>
      </c>
      <c r="B8" s="23">
        <v>1000</v>
      </c>
      <c r="C8" s="23"/>
      <c r="D8" s="23">
        <f>Table23453456879111215141617181920212223242526272834567891011345678910111235[[#This Row],[Cash]]+Table23453456879111215141617181920212223242526272834567891011345678910111235[[#This Row],[Account Transfer]]</f>
        <v>1000</v>
      </c>
      <c r="E8" s="22" t="s">
        <v>106</v>
      </c>
      <c r="F8" s="36" t="s">
        <v>74</v>
      </c>
      <c r="H8" s="26">
        <v>45752</v>
      </c>
      <c r="I8">
        <v>1900</v>
      </c>
      <c r="J8">
        <v>1900</v>
      </c>
    </row>
    <row r="9" spans="1:11" x14ac:dyDescent="0.35">
      <c r="A9" s="35">
        <v>45749</v>
      </c>
      <c r="B9" s="23">
        <v>120</v>
      </c>
      <c r="C9" s="23"/>
      <c r="D9" s="23">
        <f>Table23453456879111215141617181920212223242526272834567891011345678910111235[[#This Row],[Cash]]+Table23453456879111215141617181920212223242526272834567891011345678910111235[[#This Row],[Account Transfer]]</f>
        <v>120</v>
      </c>
      <c r="E9" s="22" t="s">
        <v>41</v>
      </c>
      <c r="F9" s="36" t="s">
        <v>74</v>
      </c>
      <c r="H9" s="26">
        <v>45753</v>
      </c>
      <c r="I9">
        <v>2115</v>
      </c>
      <c r="J9">
        <v>1065</v>
      </c>
      <c r="K9">
        <v>1050</v>
      </c>
    </row>
    <row r="10" spans="1:11" x14ac:dyDescent="0.35">
      <c r="A10" s="35">
        <v>45749</v>
      </c>
      <c r="B10" s="23">
        <v>30</v>
      </c>
      <c r="C10" s="23"/>
      <c r="D10" s="23">
        <f>Table23453456879111215141617181920212223242526272834567891011345678910111235[[#This Row],[Cash]]+Table23453456879111215141617181920212223242526272834567891011345678910111235[[#This Row],[Account Transfer]]</f>
        <v>30</v>
      </c>
      <c r="E10" s="22" t="s">
        <v>107</v>
      </c>
      <c r="F10" s="36" t="s">
        <v>74</v>
      </c>
      <c r="H10" s="26">
        <v>45754</v>
      </c>
      <c r="I10">
        <v>520</v>
      </c>
      <c r="J10">
        <v>520</v>
      </c>
    </row>
    <row r="11" spans="1:11" x14ac:dyDescent="0.35">
      <c r="A11" s="35">
        <v>45749</v>
      </c>
      <c r="B11" s="23">
        <v>520</v>
      </c>
      <c r="C11" s="23"/>
      <c r="D11" s="23">
        <f>Table23453456879111215141617181920212223242526272834567891011345678910111235[[#This Row],[Cash]]+Table23453456879111215141617181920212223242526272834567891011345678910111235[[#This Row],[Account Transfer]]</f>
        <v>520</v>
      </c>
      <c r="E11" s="22" t="s">
        <v>109</v>
      </c>
      <c r="F11" s="36" t="s">
        <v>74</v>
      </c>
      <c r="H11" s="26">
        <v>45755</v>
      </c>
      <c r="I11">
        <v>4880</v>
      </c>
      <c r="J11">
        <v>4880</v>
      </c>
    </row>
    <row r="12" spans="1:11" x14ac:dyDescent="0.35">
      <c r="A12" s="35">
        <v>45749</v>
      </c>
      <c r="B12" s="23">
        <v>250</v>
      </c>
      <c r="C12" s="23"/>
      <c r="D12" s="23">
        <f>Table23453456879111215141617181920212223242526272834567891011345678910111235[[#This Row],[Cash]]+Table23453456879111215141617181920212223242526272834567891011345678910111235[[#This Row],[Account Transfer]]</f>
        <v>250</v>
      </c>
      <c r="E12" s="22" t="s">
        <v>97</v>
      </c>
      <c r="F12" s="36" t="s">
        <v>74</v>
      </c>
      <c r="H12" s="26">
        <v>45756</v>
      </c>
      <c r="I12">
        <v>250</v>
      </c>
      <c r="J12">
        <v>250</v>
      </c>
    </row>
    <row r="13" spans="1:11" x14ac:dyDescent="0.35">
      <c r="A13" s="35">
        <v>45749</v>
      </c>
      <c r="B13" s="23">
        <v>150</v>
      </c>
      <c r="C13" s="23"/>
      <c r="D13" s="23">
        <f>Table23453456879111215141617181920212223242526272834567891011345678910111235[[#This Row],[Cash]]+Table23453456879111215141617181920212223242526272834567891011345678910111235[[#This Row],[Account Transfer]]</f>
        <v>150</v>
      </c>
      <c r="E13" s="22" t="s">
        <v>108</v>
      </c>
      <c r="F13" s="36" t="s">
        <v>74</v>
      </c>
      <c r="H13" s="26">
        <v>45757</v>
      </c>
      <c r="I13">
        <v>1360</v>
      </c>
      <c r="J13">
        <v>1360</v>
      </c>
    </row>
    <row r="14" spans="1:11" x14ac:dyDescent="0.35">
      <c r="A14" s="35">
        <v>45749</v>
      </c>
      <c r="B14" s="23">
        <v>90</v>
      </c>
      <c r="C14" s="23"/>
      <c r="D14" s="23">
        <f>Table23453456879111215141617181920212223242526272834567891011345678910111235[[#This Row],[Cash]]+Table23453456879111215141617181920212223242526272834567891011345678910111235[[#This Row],[Account Transfer]]</f>
        <v>90</v>
      </c>
      <c r="E14" s="22" t="s">
        <v>39</v>
      </c>
      <c r="F14" s="36" t="s">
        <v>42</v>
      </c>
      <c r="H14" s="26">
        <v>45758</v>
      </c>
      <c r="I14">
        <v>1060</v>
      </c>
      <c r="J14">
        <v>1060</v>
      </c>
    </row>
    <row r="15" spans="1:11" x14ac:dyDescent="0.35">
      <c r="A15" s="35">
        <v>45750</v>
      </c>
      <c r="B15" s="23">
        <v>30</v>
      </c>
      <c r="C15" s="23"/>
      <c r="D15" s="23">
        <f>Table23453456879111215141617181920212223242526272834567891011345678910111235[[#This Row],[Cash]]+Table23453456879111215141617181920212223242526272834567891011345678910111235[[#This Row],[Account Transfer]]</f>
        <v>30</v>
      </c>
      <c r="E15" s="22" t="s">
        <v>110</v>
      </c>
      <c r="F15" s="36" t="s">
        <v>74</v>
      </c>
      <c r="H15" s="26">
        <v>45759</v>
      </c>
      <c r="I15">
        <v>1110</v>
      </c>
      <c r="J15">
        <v>1110</v>
      </c>
    </row>
    <row r="16" spans="1:11" x14ac:dyDescent="0.35">
      <c r="A16" s="35">
        <v>45750</v>
      </c>
      <c r="B16" s="23">
        <v>120</v>
      </c>
      <c r="C16" s="23"/>
      <c r="D16" s="23">
        <f>Table23453456879111215141617181920212223242526272834567891011345678910111235[[#This Row],[Cash]]+Table23453456879111215141617181920212223242526272834567891011345678910111235[[#This Row],[Account Transfer]]</f>
        <v>120</v>
      </c>
      <c r="E16" s="22" t="s">
        <v>111</v>
      </c>
      <c r="F16" s="36" t="s">
        <v>74</v>
      </c>
      <c r="H16" s="26">
        <v>45760</v>
      </c>
      <c r="I16">
        <v>1100</v>
      </c>
      <c r="J16">
        <v>1100</v>
      </c>
    </row>
    <row r="17" spans="1:11" x14ac:dyDescent="0.35">
      <c r="A17" s="35">
        <v>45750</v>
      </c>
      <c r="B17" s="23">
        <v>120</v>
      </c>
      <c r="C17" s="23"/>
      <c r="D17" s="23">
        <f>Table23453456879111215141617181920212223242526272834567891011345678910111235[[#This Row],[Cash]]+Table23453456879111215141617181920212223242526272834567891011345678910111235[[#This Row],[Account Transfer]]</f>
        <v>120</v>
      </c>
      <c r="E17" s="22" t="s">
        <v>41</v>
      </c>
      <c r="F17" s="36" t="s">
        <v>74</v>
      </c>
      <c r="H17" s="26">
        <v>45761</v>
      </c>
      <c r="I17">
        <v>2140</v>
      </c>
      <c r="J17">
        <v>2140</v>
      </c>
    </row>
    <row r="18" spans="1:11" x14ac:dyDescent="0.35">
      <c r="A18" s="35">
        <v>45751</v>
      </c>
      <c r="B18" s="23">
        <v>600</v>
      </c>
      <c r="C18" s="23"/>
      <c r="D18" s="23">
        <f>Table23453456879111215141617181920212223242526272834567891011345678910111235[[#This Row],[Cash]]+Table23453456879111215141617181920212223242526272834567891011345678910111235[[#This Row],[Account Transfer]]</f>
        <v>600</v>
      </c>
      <c r="E18" s="22" t="s">
        <v>112</v>
      </c>
      <c r="F18" s="36" t="s">
        <v>74</v>
      </c>
      <c r="H18" s="26">
        <v>45762</v>
      </c>
      <c r="I18">
        <v>1220</v>
      </c>
      <c r="J18">
        <v>1100</v>
      </c>
      <c r="K18">
        <v>120</v>
      </c>
    </row>
    <row r="19" spans="1:11" x14ac:dyDescent="0.35">
      <c r="A19" s="35">
        <v>45751</v>
      </c>
      <c r="B19" s="23">
        <v>160</v>
      </c>
      <c r="C19" s="23"/>
      <c r="D19" s="23">
        <f>Table23453456879111215141617181920212223242526272834567891011345678910111235[[#This Row],[Cash]]+Table23453456879111215141617181920212223242526272834567891011345678910111235[[#This Row],[Account Transfer]]</f>
        <v>160</v>
      </c>
      <c r="E19" s="22" t="s">
        <v>26</v>
      </c>
      <c r="F19" s="36" t="s">
        <v>74</v>
      </c>
      <c r="H19" s="26">
        <v>45763</v>
      </c>
      <c r="I19">
        <v>7679</v>
      </c>
      <c r="J19">
        <v>400</v>
      </c>
      <c r="K19">
        <v>7279</v>
      </c>
    </row>
    <row r="20" spans="1:11" x14ac:dyDescent="0.35">
      <c r="A20" s="35">
        <v>45751</v>
      </c>
      <c r="B20" s="23">
        <v>550</v>
      </c>
      <c r="C20" s="23"/>
      <c r="D20" s="23">
        <f>Table23453456879111215141617181920212223242526272834567891011345678910111235[[#This Row],[Cash]]+Table23453456879111215141617181920212223242526272834567891011345678910111235[[#This Row],[Account Transfer]]</f>
        <v>550</v>
      </c>
      <c r="E20" s="22" t="s">
        <v>113</v>
      </c>
      <c r="F20" s="36" t="s">
        <v>74</v>
      </c>
      <c r="H20" s="26">
        <v>45764</v>
      </c>
      <c r="I20">
        <v>7330</v>
      </c>
      <c r="J20">
        <v>1130</v>
      </c>
      <c r="K20">
        <v>6200</v>
      </c>
    </row>
    <row r="21" spans="1:11" x14ac:dyDescent="0.35">
      <c r="A21" s="35">
        <v>45751</v>
      </c>
      <c r="B21" s="23"/>
      <c r="C21" s="23">
        <v>300</v>
      </c>
      <c r="D21" s="23">
        <f>Table23453456879111215141617181920212223242526272834567891011345678910111235[[#This Row],[Cash]]+Table23453456879111215141617181920212223242526272834567891011345678910111235[[#This Row],[Account Transfer]]</f>
        <v>300</v>
      </c>
      <c r="E21" s="22" t="s">
        <v>114</v>
      </c>
      <c r="F21" s="36" t="s">
        <v>103</v>
      </c>
      <c r="H21" s="26">
        <v>45765</v>
      </c>
      <c r="I21">
        <v>3270</v>
      </c>
      <c r="J21">
        <v>1620</v>
      </c>
      <c r="K21">
        <v>1650</v>
      </c>
    </row>
    <row r="22" spans="1:11" x14ac:dyDescent="0.35">
      <c r="A22" s="35">
        <v>45751</v>
      </c>
      <c r="B22" s="23">
        <v>260</v>
      </c>
      <c r="C22" s="23"/>
      <c r="D22" s="23">
        <f>Table23453456879111215141617181920212223242526272834567891011345678910111235[[#This Row],[Cash]]+Table23453456879111215141617181920212223242526272834567891011345678910111235[[#This Row],[Account Transfer]]</f>
        <v>260</v>
      </c>
      <c r="E22" s="22" t="s">
        <v>115</v>
      </c>
      <c r="F22" s="36" t="s">
        <v>42</v>
      </c>
      <c r="H22" s="26">
        <v>45766</v>
      </c>
      <c r="I22">
        <v>110</v>
      </c>
      <c r="J22">
        <v>110</v>
      </c>
    </row>
    <row r="23" spans="1:11" x14ac:dyDescent="0.35">
      <c r="A23" s="35">
        <v>45752</v>
      </c>
      <c r="B23" s="23">
        <v>200</v>
      </c>
      <c r="C23" s="23"/>
      <c r="D23" s="23">
        <f>Table23453456879111215141617181920212223242526272834567891011345678910111235[[#This Row],[Cash]]+Table23453456879111215141617181920212223242526272834567891011345678910111235[[#This Row],[Account Transfer]]</f>
        <v>200</v>
      </c>
      <c r="E23" s="22" t="s">
        <v>116</v>
      </c>
      <c r="F23" s="36" t="s">
        <v>42</v>
      </c>
      <c r="H23" s="26">
        <v>45767</v>
      </c>
      <c r="I23">
        <v>147148</v>
      </c>
      <c r="J23">
        <v>50960</v>
      </c>
      <c r="K23">
        <v>96188</v>
      </c>
    </row>
    <row r="24" spans="1:11" x14ac:dyDescent="0.35">
      <c r="A24" s="35">
        <v>45752</v>
      </c>
      <c r="B24" s="23">
        <v>130</v>
      </c>
      <c r="C24" s="23"/>
      <c r="D24" s="23">
        <f>Table23453456879111215141617181920212223242526272834567891011345678910111235[[#This Row],[Cash]]+Table23453456879111215141617181920212223242526272834567891011345678910111235[[#This Row],[Account Transfer]]</f>
        <v>130</v>
      </c>
      <c r="E24" s="22" t="s">
        <v>117</v>
      </c>
      <c r="F24" s="36" t="s">
        <v>78</v>
      </c>
      <c r="H24" s="26">
        <v>45768</v>
      </c>
      <c r="I24">
        <v>20350</v>
      </c>
      <c r="J24">
        <v>350</v>
      </c>
      <c r="K24">
        <v>20000</v>
      </c>
    </row>
    <row r="25" spans="1:11" x14ac:dyDescent="0.35">
      <c r="A25" s="35">
        <v>45752</v>
      </c>
      <c r="B25" s="23">
        <v>200</v>
      </c>
      <c r="C25" s="23"/>
      <c r="D25" s="23">
        <f>Table23453456879111215141617181920212223242526272834567891011345678910111235[[#This Row],[Cash]]+Table23453456879111215141617181920212223242526272834567891011345678910111235[[#This Row],[Account Transfer]]</f>
        <v>200</v>
      </c>
      <c r="E25" s="22" t="s">
        <v>41</v>
      </c>
      <c r="F25" s="36" t="s">
        <v>42</v>
      </c>
      <c r="H25" s="26">
        <v>45769</v>
      </c>
      <c r="I25">
        <v>1010</v>
      </c>
      <c r="J25">
        <v>1010</v>
      </c>
    </row>
    <row r="26" spans="1:11" x14ac:dyDescent="0.35">
      <c r="A26" s="35">
        <v>45752</v>
      </c>
      <c r="B26" s="23">
        <v>70</v>
      </c>
      <c r="C26" s="23"/>
      <c r="D26" s="23">
        <f>Table23453456879111215141617181920212223242526272834567891011345678910111235[[#This Row],[Cash]]+Table23453456879111215141617181920212223242526272834567891011345678910111235[[#This Row],[Account Transfer]]</f>
        <v>70</v>
      </c>
      <c r="E26" s="22" t="s">
        <v>41</v>
      </c>
      <c r="F26" s="36" t="s">
        <v>74</v>
      </c>
      <c r="H26" s="26">
        <v>45770</v>
      </c>
      <c r="I26">
        <v>58410</v>
      </c>
      <c r="J26">
        <v>1910</v>
      </c>
      <c r="K26">
        <v>56500</v>
      </c>
    </row>
    <row r="27" spans="1:11" x14ac:dyDescent="0.35">
      <c r="A27" s="35">
        <v>45752</v>
      </c>
      <c r="B27" s="23">
        <v>1300</v>
      </c>
      <c r="C27" s="23"/>
      <c r="D27" s="23">
        <f>Table23453456879111215141617181920212223242526272834567891011345678910111235[[#This Row],[Cash]]+Table23453456879111215141617181920212223242526272834567891011345678910111235[[#This Row],[Account Transfer]]</f>
        <v>1300</v>
      </c>
      <c r="E27" s="22" t="s">
        <v>118</v>
      </c>
      <c r="F27" s="36" t="s">
        <v>42</v>
      </c>
      <c r="H27" s="26">
        <v>45771</v>
      </c>
      <c r="I27">
        <v>2150</v>
      </c>
      <c r="J27">
        <v>150</v>
      </c>
      <c r="K27">
        <v>2000</v>
      </c>
    </row>
    <row r="28" spans="1:11" x14ac:dyDescent="0.35">
      <c r="A28" s="35">
        <v>45753</v>
      </c>
      <c r="B28" s="23">
        <v>300</v>
      </c>
      <c r="C28" s="23"/>
      <c r="D28" s="23">
        <f>Table23453456879111215141617181920212223242526272834567891011345678910111235[[#This Row],[Cash]]+Table23453456879111215141617181920212223242526272834567891011345678910111235[[#This Row],[Account Transfer]]</f>
        <v>300</v>
      </c>
      <c r="E28" s="22" t="s">
        <v>119</v>
      </c>
      <c r="F28" s="36" t="s">
        <v>42</v>
      </c>
      <c r="H28" s="26">
        <v>45772</v>
      </c>
      <c r="I28">
        <v>3120</v>
      </c>
      <c r="J28">
        <v>3120</v>
      </c>
    </row>
    <row r="29" spans="1:11" x14ac:dyDescent="0.35">
      <c r="A29" s="35">
        <v>45753</v>
      </c>
      <c r="B29" s="23">
        <v>165</v>
      </c>
      <c r="C29" s="23"/>
      <c r="D29" s="23">
        <f>Table23453456879111215141617181920212223242526272834567891011345678910111235[[#This Row],[Cash]]+Table23453456879111215141617181920212223242526272834567891011345678910111235[[#This Row],[Account Transfer]]</f>
        <v>165</v>
      </c>
      <c r="E29" s="22" t="s">
        <v>73</v>
      </c>
      <c r="F29" s="36" t="s">
        <v>74</v>
      </c>
      <c r="H29" s="26">
        <v>45773</v>
      </c>
      <c r="I29">
        <v>6500</v>
      </c>
      <c r="J29">
        <v>3500</v>
      </c>
      <c r="K29">
        <v>3000</v>
      </c>
    </row>
    <row r="30" spans="1:11" x14ac:dyDescent="0.35">
      <c r="A30" s="35">
        <v>45753</v>
      </c>
      <c r="B30" s="23">
        <v>80</v>
      </c>
      <c r="C30" s="23"/>
      <c r="D30" s="23">
        <f>Table23453456879111215141617181920212223242526272834567891011345678910111235[[#This Row],[Cash]]+Table23453456879111215141617181920212223242526272834567891011345678910111235[[#This Row],[Account Transfer]]</f>
        <v>80</v>
      </c>
      <c r="E30" s="22" t="s">
        <v>26</v>
      </c>
      <c r="F30" s="36" t="s">
        <v>74</v>
      </c>
      <c r="H30" s="26">
        <v>45774</v>
      </c>
      <c r="I30">
        <v>10630</v>
      </c>
      <c r="J30">
        <v>630</v>
      </c>
      <c r="K30">
        <v>10000</v>
      </c>
    </row>
    <row r="31" spans="1:11" x14ac:dyDescent="0.35">
      <c r="A31" s="35">
        <v>45753</v>
      </c>
      <c r="B31" s="23">
        <v>220</v>
      </c>
      <c r="C31" s="23"/>
      <c r="D31" s="23">
        <f>Table23453456879111215141617181920212223242526272834567891011345678910111235[[#This Row],[Cash]]+Table23453456879111215141617181920212223242526272834567891011345678910111235[[#This Row],[Account Transfer]]</f>
        <v>220</v>
      </c>
      <c r="E31" s="22" t="s">
        <v>115</v>
      </c>
      <c r="F31" s="36" t="s">
        <v>42</v>
      </c>
      <c r="H31" s="26">
        <v>45775</v>
      </c>
      <c r="I31">
        <v>90</v>
      </c>
      <c r="J31">
        <v>90</v>
      </c>
    </row>
    <row r="32" spans="1:11" x14ac:dyDescent="0.35">
      <c r="A32" s="35">
        <v>45753</v>
      </c>
      <c r="B32" s="23">
        <v>150</v>
      </c>
      <c r="C32" s="23"/>
      <c r="D32" s="23">
        <f>Table23453456879111215141617181920212223242526272834567891011345678910111235[[#This Row],[Cash]]+Table23453456879111215141617181920212223242526272834567891011345678910111235[[#This Row],[Account Transfer]]</f>
        <v>150</v>
      </c>
      <c r="E32" s="44" t="s">
        <v>120</v>
      </c>
      <c r="F32" s="36" t="s">
        <v>74</v>
      </c>
      <c r="H32" s="26">
        <v>45776</v>
      </c>
      <c r="I32">
        <v>11000</v>
      </c>
      <c r="J32">
        <v>2500</v>
      </c>
      <c r="K32">
        <v>8500</v>
      </c>
    </row>
    <row r="33" spans="1:11" x14ac:dyDescent="0.35">
      <c r="A33" s="35">
        <v>45753</v>
      </c>
      <c r="B33" s="23">
        <v>150</v>
      </c>
      <c r="C33" s="23"/>
      <c r="D33" s="23">
        <f>Table23453456879111215141617181920212223242526272834567891011345678910111235[[#This Row],[Cash]]+Table23453456879111215141617181920212223242526272834567891011345678910111235[[#This Row],[Account Transfer]]</f>
        <v>150</v>
      </c>
      <c r="E33" s="22" t="s">
        <v>121</v>
      </c>
      <c r="F33" s="36" t="s">
        <v>42</v>
      </c>
      <c r="H33" s="26">
        <v>45777</v>
      </c>
      <c r="I33">
        <v>580</v>
      </c>
      <c r="J33">
        <v>580</v>
      </c>
    </row>
    <row r="34" spans="1:11" x14ac:dyDescent="0.35">
      <c r="A34" s="35">
        <v>45753</v>
      </c>
      <c r="B34" s="23"/>
      <c r="C34" s="23">
        <v>350</v>
      </c>
      <c r="D34" s="23">
        <f>Table23453456879111215141617181920212223242526272834567891011345678910111235[[#This Row],[Cash]]+Table23453456879111215141617181920212223242526272834567891011345678910111235[[#This Row],[Account Transfer]]</f>
        <v>350</v>
      </c>
      <c r="E34" s="22" t="s">
        <v>122</v>
      </c>
      <c r="F34" s="36" t="s">
        <v>103</v>
      </c>
      <c r="H34" s="26" t="s">
        <v>35</v>
      </c>
      <c r="I34">
        <v>304082</v>
      </c>
      <c r="J34">
        <v>88895</v>
      </c>
      <c r="K34">
        <v>215187</v>
      </c>
    </row>
    <row r="35" spans="1:11" x14ac:dyDescent="0.35">
      <c r="A35" s="35">
        <v>45753</v>
      </c>
      <c r="B35" s="23"/>
      <c r="C35" s="23">
        <v>700</v>
      </c>
      <c r="D35" s="23">
        <f>Table23453456879111215141617181920212223242526272834567891011345678910111235[[#This Row],[Cash]]+Table23453456879111215141617181920212223242526272834567891011345678910111235[[#This Row],[Account Transfer]]</f>
        <v>700</v>
      </c>
      <c r="E35" s="22" t="s">
        <v>119</v>
      </c>
      <c r="F35" s="36" t="s">
        <v>42</v>
      </c>
      <c r="I35" s="27"/>
      <c r="J35" s="27"/>
      <c r="K35" s="27"/>
    </row>
    <row r="36" spans="1:11" x14ac:dyDescent="0.35">
      <c r="A36" s="35">
        <v>45754</v>
      </c>
      <c r="B36" s="23">
        <v>400</v>
      </c>
      <c r="C36" s="23"/>
      <c r="D36" s="23">
        <f>Table23453456879111215141617181920212223242526272834567891011345678910111235[[#This Row],[Cash]]+Table23453456879111215141617181920212223242526272834567891011345678910111235[[#This Row],[Account Transfer]]</f>
        <v>400</v>
      </c>
      <c r="E36" s="22" t="s">
        <v>108</v>
      </c>
      <c r="F36" s="36" t="s">
        <v>48</v>
      </c>
      <c r="I36" s="27"/>
      <c r="J36" s="27"/>
      <c r="K36" s="27"/>
    </row>
    <row r="37" spans="1:11" x14ac:dyDescent="0.35">
      <c r="A37" s="35">
        <v>45754</v>
      </c>
      <c r="B37" s="23">
        <v>120</v>
      </c>
      <c r="C37" s="23"/>
      <c r="D37" s="23">
        <f>Table23453456879111215141617181920212223242526272834567891011345678910111235[[#This Row],[Cash]]+Table23453456879111215141617181920212223242526272834567891011345678910111235[[#This Row],[Account Transfer]]</f>
        <v>120</v>
      </c>
      <c r="E37" s="22" t="s">
        <v>41</v>
      </c>
      <c r="F37" s="36" t="s">
        <v>74</v>
      </c>
      <c r="I37" s="27"/>
      <c r="J37" s="27"/>
      <c r="K37" s="27"/>
    </row>
    <row r="38" spans="1:11" x14ac:dyDescent="0.35">
      <c r="A38" s="35">
        <v>45755</v>
      </c>
      <c r="B38" s="23">
        <v>1750</v>
      </c>
      <c r="C38" s="23"/>
      <c r="D38" s="23">
        <f>Table23453456879111215141617181920212223242526272834567891011345678910111235[[#This Row],[Cash]]+Table23453456879111215141617181920212223242526272834567891011345678910111235[[#This Row],[Account Transfer]]</f>
        <v>1750</v>
      </c>
      <c r="E38" s="22" t="s">
        <v>123</v>
      </c>
      <c r="F38" s="36" t="s">
        <v>103</v>
      </c>
      <c r="I38" s="27"/>
      <c r="J38" s="27"/>
      <c r="K38" s="27"/>
    </row>
    <row r="39" spans="1:11" x14ac:dyDescent="0.35">
      <c r="A39" s="35">
        <v>45755</v>
      </c>
      <c r="B39" s="23">
        <v>130</v>
      </c>
      <c r="C39" s="23"/>
      <c r="D39" s="23">
        <f>Table23453456879111215141617181920212223242526272834567891011345678910111235[[#This Row],[Cash]]+Table23453456879111215141617181920212223242526272834567891011345678910111235[[#This Row],[Account Transfer]]</f>
        <v>130</v>
      </c>
      <c r="E39" s="22" t="s">
        <v>26</v>
      </c>
      <c r="F39" s="36" t="s">
        <v>74</v>
      </c>
      <c r="I39" s="27"/>
      <c r="J39" s="27"/>
      <c r="K39" s="27"/>
    </row>
    <row r="40" spans="1:11" x14ac:dyDescent="0.35">
      <c r="A40" s="35">
        <v>45755</v>
      </c>
      <c r="B40" s="23">
        <v>1500</v>
      </c>
      <c r="C40" s="23"/>
      <c r="D40" s="23">
        <f>Table23453456879111215141617181920212223242526272834567891011345678910111235[[#This Row],[Cash]]+Table23453456879111215141617181920212223242526272834567891011345678910111235[[#This Row],[Account Transfer]]</f>
        <v>1500</v>
      </c>
      <c r="E40" s="22" t="s">
        <v>124</v>
      </c>
      <c r="F40" s="36" t="s">
        <v>51</v>
      </c>
      <c r="I40" s="27"/>
      <c r="J40" s="27"/>
      <c r="K40" s="27"/>
    </row>
    <row r="41" spans="1:11" x14ac:dyDescent="0.35">
      <c r="A41" s="35">
        <v>45755</v>
      </c>
      <c r="B41" s="23">
        <v>1500</v>
      </c>
      <c r="C41" s="23"/>
      <c r="D41" s="23">
        <f>Table23453456879111215141617181920212223242526272834567891011345678910111235[[#This Row],[Cash]]+Table23453456879111215141617181920212223242526272834567891011345678910111235[[#This Row],[Account Transfer]]</f>
        <v>1500</v>
      </c>
      <c r="E41" s="22" t="s">
        <v>125</v>
      </c>
      <c r="F41" s="36" t="s">
        <v>51</v>
      </c>
      <c r="I41" s="27"/>
      <c r="J41" s="27"/>
      <c r="K41" s="27"/>
    </row>
    <row r="42" spans="1:11" x14ac:dyDescent="0.35">
      <c r="A42" s="35">
        <v>45756</v>
      </c>
      <c r="B42" s="23">
        <v>150</v>
      </c>
      <c r="C42" s="23"/>
      <c r="D42" s="23">
        <f>Table23453456879111215141617181920212223242526272834567891011345678910111235[[#This Row],[Cash]]+Table23453456879111215141617181920212223242526272834567891011345678910111235[[#This Row],[Account Transfer]]</f>
        <v>150</v>
      </c>
      <c r="E42" s="22" t="s">
        <v>78</v>
      </c>
      <c r="F42" s="36" t="s">
        <v>74</v>
      </c>
      <c r="I42" s="27"/>
      <c r="J42" s="27"/>
      <c r="K42" s="27"/>
    </row>
    <row r="43" spans="1:11" x14ac:dyDescent="0.35">
      <c r="A43" s="35">
        <v>45756</v>
      </c>
      <c r="B43" s="23">
        <v>100</v>
      </c>
      <c r="C43" s="23"/>
      <c r="D43" s="23">
        <f>Table23453456879111215141617181920212223242526272834567891011345678910111235[[#This Row],[Cash]]+Table23453456879111215141617181920212223242526272834567891011345678910111235[[#This Row],[Account Transfer]]</f>
        <v>100</v>
      </c>
      <c r="E43" s="22" t="s">
        <v>126</v>
      </c>
      <c r="F43" s="36" t="s">
        <v>48</v>
      </c>
      <c r="I43" s="27"/>
      <c r="J43" s="27"/>
      <c r="K43" s="27"/>
    </row>
    <row r="44" spans="1:11" x14ac:dyDescent="0.35">
      <c r="A44" s="35">
        <v>45757</v>
      </c>
      <c r="B44" s="23">
        <v>1000</v>
      </c>
      <c r="C44" s="23"/>
      <c r="D44" s="23">
        <f>Table23453456879111215141617181920212223242526272834567891011345678910111235[[#This Row],[Cash]]+Table23453456879111215141617181920212223242526272834567891011345678910111235[[#This Row],[Account Transfer]]</f>
        <v>1000</v>
      </c>
      <c r="E44" s="22" t="s">
        <v>69</v>
      </c>
      <c r="F44" s="36" t="s">
        <v>69</v>
      </c>
      <c r="I44" s="27"/>
      <c r="J44" s="27"/>
      <c r="K44" s="27"/>
    </row>
    <row r="45" spans="1:11" x14ac:dyDescent="0.35">
      <c r="A45" s="35">
        <v>45757</v>
      </c>
      <c r="B45" s="23">
        <v>300</v>
      </c>
      <c r="C45" s="23"/>
      <c r="D45" s="23">
        <f>Table23453456879111215141617181920212223242526272834567891011345678910111235[[#This Row],[Cash]]+Table23453456879111215141617181920212223242526272834567891011345678910111235[[#This Row],[Account Transfer]]</f>
        <v>300</v>
      </c>
      <c r="E45" s="22" t="s">
        <v>127</v>
      </c>
      <c r="F45" s="36" t="s">
        <v>48</v>
      </c>
      <c r="I45" s="27"/>
      <c r="J45" s="27"/>
      <c r="K45" s="27"/>
    </row>
    <row r="46" spans="1:11" x14ac:dyDescent="0.35">
      <c r="A46" s="35">
        <v>45757</v>
      </c>
      <c r="B46" s="23">
        <v>60</v>
      </c>
      <c r="C46" s="23"/>
      <c r="D46" s="23">
        <f>Table23453456879111215141617181920212223242526272834567891011345678910111235[[#This Row],[Cash]]+Table23453456879111215141617181920212223242526272834567891011345678910111235[[#This Row],[Account Transfer]]</f>
        <v>60</v>
      </c>
      <c r="E46" s="22" t="s">
        <v>26</v>
      </c>
      <c r="F46" s="36" t="s">
        <v>48</v>
      </c>
      <c r="I46" s="27"/>
      <c r="J46" s="27"/>
      <c r="K46" s="27"/>
    </row>
    <row r="47" spans="1:11" x14ac:dyDescent="0.35">
      <c r="A47" s="35">
        <v>45758</v>
      </c>
      <c r="B47" s="23">
        <v>1000</v>
      </c>
      <c r="C47" s="23"/>
      <c r="D47" s="23">
        <f>Table23453456879111215141617181920212223242526272834567891011345678910111235[[#This Row],[Cash]]+Table23453456879111215141617181920212223242526272834567891011345678910111235[[#This Row],[Account Transfer]]</f>
        <v>1000</v>
      </c>
      <c r="E47" s="22" t="s">
        <v>69</v>
      </c>
      <c r="F47" s="36" t="s">
        <v>48</v>
      </c>
      <c r="I47" s="27"/>
      <c r="J47" s="27"/>
      <c r="K47" s="27"/>
    </row>
    <row r="48" spans="1:11" x14ac:dyDescent="0.35">
      <c r="A48" s="35">
        <v>45758</v>
      </c>
      <c r="B48" s="23">
        <v>60</v>
      </c>
      <c r="C48" s="23"/>
      <c r="D48" s="23">
        <f>Table23453456879111215141617181920212223242526272834567891011345678910111235[[#This Row],[Cash]]+Table23453456879111215141617181920212223242526272834567891011345678910111235[[#This Row],[Account Transfer]]</f>
        <v>60</v>
      </c>
      <c r="E48" s="22" t="s">
        <v>26</v>
      </c>
      <c r="F48" s="36" t="s">
        <v>48</v>
      </c>
      <c r="I48" s="27"/>
      <c r="J48" s="27"/>
      <c r="K48" s="27"/>
    </row>
    <row r="49" spans="1:6" x14ac:dyDescent="0.35">
      <c r="A49" s="35">
        <v>45759</v>
      </c>
      <c r="B49" s="23">
        <v>1000</v>
      </c>
      <c r="C49" s="23"/>
      <c r="D49" s="23">
        <f>Table23453456879111215141617181920212223242526272834567891011345678910111235[[#This Row],[Cash]]+Table23453456879111215141617181920212223242526272834567891011345678910111235[[#This Row],[Account Transfer]]</f>
        <v>1000</v>
      </c>
      <c r="E49" s="22" t="s">
        <v>69</v>
      </c>
      <c r="F49" s="36" t="s">
        <v>48</v>
      </c>
    </row>
    <row r="50" spans="1:6" x14ac:dyDescent="0.35">
      <c r="A50" s="35">
        <v>45759</v>
      </c>
      <c r="B50" s="23">
        <v>110</v>
      </c>
      <c r="C50" s="23"/>
      <c r="D50" s="23">
        <f>Table23453456879111215141617181920212223242526272834567891011345678910111235[[#This Row],[Cash]]+Table23453456879111215141617181920212223242526272834567891011345678910111235[[#This Row],[Account Transfer]]</f>
        <v>110</v>
      </c>
      <c r="E50" s="22" t="s">
        <v>26</v>
      </c>
      <c r="F50" s="36" t="s">
        <v>48</v>
      </c>
    </row>
    <row r="51" spans="1:6" x14ac:dyDescent="0.35">
      <c r="A51" s="35">
        <v>45760</v>
      </c>
      <c r="B51" s="23">
        <v>600</v>
      </c>
      <c r="C51" s="23"/>
      <c r="D51" s="23">
        <f>Table23453456879111215141617181920212223242526272834567891011345678910111235[[#This Row],[Cash]]+Table23453456879111215141617181920212223242526272834567891011345678910111235[[#This Row],[Account Transfer]]</f>
        <v>600</v>
      </c>
      <c r="E51" s="22" t="s">
        <v>129</v>
      </c>
      <c r="F51" s="36" t="s">
        <v>42</v>
      </c>
    </row>
    <row r="52" spans="1:6" x14ac:dyDescent="0.35">
      <c r="A52" s="35">
        <v>45760</v>
      </c>
      <c r="B52" s="23">
        <v>60</v>
      </c>
      <c r="C52" s="23"/>
      <c r="D52" s="23">
        <f>Table23453456879111215141617181920212223242526272834567891011345678910111235[[#This Row],[Cash]]+Table23453456879111215141617181920212223242526272834567891011345678910111235[[#This Row],[Account Transfer]]</f>
        <v>60</v>
      </c>
      <c r="E52" s="22" t="s">
        <v>26</v>
      </c>
      <c r="F52" s="36" t="s">
        <v>74</v>
      </c>
    </row>
    <row r="53" spans="1:6" x14ac:dyDescent="0.35">
      <c r="A53" s="35">
        <v>45760</v>
      </c>
      <c r="B53" s="23">
        <v>440</v>
      </c>
      <c r="C53" s="23"/>
      <c r="D53" s="23">
        <f>Table23453456879111215141617181920212223242526272834567891011345678910111235[[#This Row],[Cash]]+Table23453456879111215141617181920212223242526272834567891011345678910111235[[#This Row],[Account Transfer]]</f>
        <v>440</v>
      </c>
      <c r="E53" s="22" t="s">
        <v>73</v>
      </c>
      <c r="F53" s="36" t="s">
        <v>48</v>
      </c>
    </row>
    <row r="54" spans="1:6" x14ac:dyDescent="0.35">
      <c r="A54" s="35">
        <v>45761</v>
      </c>
      <c r="B54" s="23">
        <v>1700</v>
      </c>
      <c r="C54" s="23"/>
      <c r="D54" s="23">
        <f>Table23453456879111215141617181920212223242526272834567891011345678910111235[[#This Row],[Cash]]+Table23453456879111215141617181920212223242526272834567891011345678910111235[[#This Row],[Account Transfer]]</f>
        <v>1700</v>
      </c>
      <c r="E54" s="22" t="s">
        <v>130</v>
      </c>
      <c r="F54" s="36" t="s">
        <v>74</v>
      </c>
    </row>
    <row r="55" spans="1:6" x14ac:dyDescent="0.35">
      <c r="A55" s="35">
        <v>45761</v>
      </c>
      <c r="B55" s="23">
        <v>250</v>
      </c>
      <c r="C55" s="23"/>
      <c r="D55" s="23">
        <f>Table23453456879111215141617181920212223242526272834567891011345678910111235[[#This Row],[Cash]]+Table23453456879111215141617181920212223242526272834567891011345678910111235[[#This Row],[Account Transfer]]</f>
        <v>250</v>
      </c>
      <c r="E55" s="22" t="s">
        <v>108</v>
      </c>
      <c r="F55" s="36" t="s">
        <v>74</v>
      </c>
    </row>
    <row r="56" spans="1:6" x14ac:dyDescent="0.35">
      <c r="A56" s="35">
        <v>45761</v>
      </c>
      <c r="B56" s="23">
        <v>90</v>
      </c>
      <c r="C56" s="23"/>
      <c r="D56" s="23">
        <f>Table23453456879111215141617181920212223242526272834567891011345678910111235[[#This Row],[Cash]]+Table23453456879111215141617181920212223242526272834567891011345678910111235[[#This Row],[Account Transfer]]</f>
        <v>90</v>
      </c>
      <c r="E56" s="22" t="s">
        <v>26</v>
      </c>
      <c r="F56" s="36" t="s">
        <v>48</v>
      </c>
    </row>
    <row r="57" spans="1:6" x14ac:dyDescent="0.35">
      <c r="A57" s="35">
        <v>45761</v>
      </c>
      <c r="B57" s="23">
        <v>100</v>
      </c>
      <c r="C57" s="23"/>
      <c r="D57" s="23">
        <f>Table23453456879111215141617181920212223242526272834567891011345678910111235[[#This Row],[Cash]]+Table23453456879111215141617181920212223242526272834567891011345678910111235[[#This Row],[Account Transfer]]</f>
        <v>100</v>
      </c>
      <c r="E57" s="22" t="s">
        <v>26</v>
      </c>
      <c r="F57" s="36" t="s">
        <v>48</v>
      </c>
    </row>
    <row r="58" spans="1:6" x14ac:dyDescent="0.35">
      <c r="A58" s="35">
        <v>45762</v>
      </c>
      <c r="B58" s="23">
        <v>1000</v>
      </c>
      <c r="C58" s="23"/>
      <c r="D58" s="23">
        <f>Table23453456879111215141617181920212223242526272834567891011345678910111235[[#This Row],[Cash]]+Table23453456879111215141617181920212223242526272834567891011345678910111235[[#This Row],[Account Transfer]]</f>
        <v>1000</v>
      </c>
      <c r="E58" s="22" t="s">
        <v>69</v>
      </c>
      <c r="F58" s="36" t="s">
        <v>48</v>
      </c>
    </row>
    <row r="59" spans="1:6" x14ac:dyDescent="0.35">
      <c r="A59" s="35">
        <v>45762</v>
      </c>
      <c r="B59" s="23">
        <v>100</v>
      </c>
      <c r="C59" s="23"/>
      <c r="D59" s="23">
        <f>Table23453456879111215141617181920212223242526272834567891011345678910111235[[#This Row],[Cash]]+Table23453456879111215141617181920212223242526272834567891011345678910111235[[#This Row],[Account Transfer]]</f>
        <v>100</v>
      </c>
      <c r="E59" s="22" t="s">
        <v>26</v>
      </c>
      <c r="F59" s="36" t="s">
        <v>48</v>
      </c>
    </row>
    <row r="60" spans="1:6" x14ac:dyDescent="0.35">
      <c r="A60" s="35">
        <v>45762</v>
      </c>
      <c r="B60" s="23"/>
      <c r="C60" s="23">
        <v>120</v>
      </c>
      <c r="D60" s="23">
        <f>Table23453456879111215141617181920212223242526272834567891011345678910111235[[#This Row],[Cash]]+Table23453456879111215141617181920212223242526272834567891011345678910111235[[#This Row],[Account Transfer]]</f>
        <v>120</v>
      </c>
      <c r="E60" s="22" t="s">
        <v>26</v>
      </c>
      <c r="F60" s="36" t="s">
        <v>48</v>
      </c>
    </row>
    <row r="61" spans="1:6" x14ac:dyDescent="0.35">
      <c r="A61" s="35">
        <v>45763</v>
      </c>
      <c r="B61" s="23"/>
      <c r="C61" s="23">
        <v>7279</v>
      </c>
      <c r="D61" s="23">
        <f>Table23453456879111215141617181920212223242526272834567891011345678910111235[[#This Row],[Cash]]+Table23453456879111215141617181920212223242526272834567891011345678910111235[[#This Row],[Account Transfer]]</f>
        <v>7279</v>
      </c>
      <c r="E61" s="22" t="s">
        <v>131</v>
      </c>
      <c r="F61" s="36" t="s">
        <v>45</v>
      </c>
    </row>
    <row r="62" spans="1:6" x14ac:dyDescent="0.35">
      <c r="A62" s="35">
        <v>45763</v>
      </c>
      <c r="B62" s="23">
        <v>300</v>
      </c>
      <c r="C62" s="23"/>
      <c r="D62" s="23">
        <f>Table23453456879111215141617181920212223242526272834567891011345678910111235[[#This Row],[Cash]]+Table23453456879111215141617181920212223242526272834567891011345678910111235[[#This Row],[Account Transfer]]</f>
        <v>300</v>
      </c>
      <c r="E62" s="22" t="s">
        <v>132</v>
      </c>
      <c r="F62" s="36" t="s">
        <v>42</v>
      </c>
    </row>
    <row r="63" spans="1:6" x14ac:dyDescent="0.35">
      <c r="A63" s="35">
        <v>45763</v>
      </c>
      <c r="B63" s="23">
        <v>100</v>
      </c>
      <c r="C63" s="23"/>
      <c r="D63" s="23">
        <f>Table23453456879111215141617181920212223242526272834567891011345678910111235[[#This Row],[Cash]]+Table23453456879111215141617181920212223242526272834567891011345678910111235[[#This Row],[Account Transfer]]</f>
        <v>100</v>
      </c>
      <c r="E63" s="22" t="s">
        <v>26</v>
      </c>
      <c r="F63" s="36" t="s">
        <v>48</v>
      </c>
    </row>
    <row r="64" spans="1:6" x14ac:dyDescent="0.35">
      <c r="A64" s="35">
        <v>45764</v>
      </c>
      <c r="B64" s="23"/>
      <c r="C64" s="23">
        <v>5100</v>
      </c>
      <c r="D64" s="23">
        <f>Table23453456879111215141617181920212223242526272834567891011345678910111235[[#This Row],[Cash]]+Table23453456879111215141617181920212223242526272834567891011345678910111235[[#This Row],[Account Transfer]]</f>
        <v>5100</v>
      </c>
      <c r="E64" s="22" t="s">
        <v>133</v>
      </c>
      <c r="F64" s="36" t="s">
        <v>85</v>
      </c>
    </row>
    <row r="65" spans="1:6" x14ac:dyDescent="0.35">
      <c r="A65" s="35">
        <v>45764</v>
      </c>
      <c r="B65" s="23">
        <v>500</v>
      </c>
      <c r="C65" s="23"/>
      <c r="D65" s="23">
        <f>Table23453456879111215141617181920212223242526272834567891011345678910111235[[#This Row],[Cash]]+Table23453456879111215141617181920212223242526272834567891011345678910111235[[#This Row],[Account Transfer]]</f>
        <v>500</v>
      </c>
      <c r="E65" s="22" t="s">
        <v>134</v>
      </c>
      <c r="F65" s="36" t="s">
        <v>48</v>
      </c>
    </row>
    <row r="66" spans="1:6" x14ac:dyDescent="0.35">
      <c r="A66" s="35">
        <v>45764</v>
      </c>
      <c r="B66" s="23">
        <v>600</v>
      </c>
      <c r="C66" s="23"/>
      <c r="D66" s="23">
        <f>Table23453456879111215141617181920212223242526272834567891011345678910111235[[#This Row],[Cash]]+Table23453456879111215141617181920212223242526272834567891011345678910111235[[#This Row],[Account Transfer]]</f>
        <v>600</v>
      </c>
      <c r="E66" s="22" t="s">
        <v>135</v>
      </c>
      <c r="F66" s="36" t="s">
        <v>42</v>
      </c>
    </row>
    <row r="67" spans="1:6" x14ac:dyDescent="0.35">
      <c r="A67" s="35">
        <v>45764</v>
      </c>
      <c r="B67" s="23">
        <v>30</v>
      </c>
      <c r="C67" s="23"/>
      <c r="D67" s="23">
        <f>Table23453456879111215141617181920212223242526272834567891011345678910111235[[#This Row],[Cash]]+Table23453456879111215141617181920212223242526272834567891011345678910111235[[#This Row],[Account Transfer]]</f>
        <v>30</v>
      </c>
      <c r="E67" s="22" t="s">
        <v>26</v>
      </c>
      <c r="F67" s="36" t="s">
        <v>74</v>
      </c>
    </row>
    <row r="68" spans="1:6" x14ac:dyDescent="0.35">
      <c r="A68" s="35">
        <v>45764</v>
      </c>
      <c r="B68" s="23"/>
      <c r="C68" s="23">
        <v>1100</v>
      </c>
      <c r="D68" s="23">
        <f>Table23453456879111215141617181920212223242526272834567891011345678910111235[[#This Row],[Cash]]+Table23453456879111215141617181920212223242526272834567891011345678910111235[[#This Row],[Account Transfer]]</f>
        <v>1100</v>
      </c>
      <c r="E68" s="22" t="s">
        <v>136</v>
      </c>
      <c r="F68" s="36" t="s">
        <v>45</v>
      </c>
    </row>
    <row r="69" spans="1:6" x14ac:dyDescent="0.35">
      <c r="A69" s="35">
        <v>45765</v>
      </c>
      <c r="B69" s="23">
        <v>120</v>
      </c>
      <c r="C69" s="23"/>
      <c r="D69" s="23">
        <f>Table23453456879111215141617181920212223242526272834567891011345678910111235[[#This Row],[Cash]]+Table23453456879111215141617181920212223242526272834567891011345678910111235[[#This Row],[Account Transfer]]</f>
        <v>120</v>
      </c>
      <c r="E69" s="22" t="s">
        <v>26</v>
      </c>
      <c r="F69" s="36" t="s">
        <v>42</v>
      </c>
    </row>
    <row r="70" spans="1:6" x14ac:dyDescent="0.35">
      <c r="A70" s="35">
        <v>45765</v>
      </c>
      <c r="B70" s="23">
        <v>1000</v>
      </c>
      <c r="C70" s="23"/>
      <c r="D70" s="23">
        <f>Table23453456879111215141617181920212223242526272834567891011345678910111235[[#This Row],[Cash]]+Table23453456879111215141617181920212223242526272834567891011345678910111235[[#This Row],[Account Transfer]]</f>
        <v>1000</v>
      </c>
      <c r="E70" s="22" t="s">
        <v>69</v>
      </c>
      <c r="F70" s="36" t="s">
        <v>48</v>
      </c>
    </row>
    <row r="71" spans="1:6" x14ac:dyDescent="0.35">
      <c r="A71" s="35">
        <v>45765</v>
      </c>
      <c r="B71" s="23">
        <v>500</v>
      </c>
      <c r="C71" s="23"/>
      <c r="D71" s="23">
        <f>Table23453456879111215141617181920212223242526272834567891011345678910111235[[#This Row],[Cash]]+Table23453456879111215141617181920212223242526272834567891011345678910111235[[#This Row],[Account Transfer]]</f>
        <v>500</v>
      </c>
      <c r="E71" s="22" t="s">
        <v>161</v>
      </c>
      <c r="F71" s="36" t="s">
        <v>45</v>
      </c>
    </row>
    <row r="72" spans="1:6" x14ac:dyDescent="0.35">
      <c r="A72" s="35">
        <v>45765</v>
      </c>
      <c r="B72" s="23"/>
      <c r="C72" s="23">
        <v>150</v>
      </c>
      <c r="D72" s="23">
        <f>Table23453456879111215141617181920212223242526272834567891011345678910111235[[#This Row],[Cash]]+Table23453456879111215141617181920212223242526272834567891011345678910111235[[#This Row],[Account Transfer]]</f>
        <v>150</v>
      </c>
      <c r="E72" s="22" t="s">
        <v>111</v>
      </c>
      <c r="F72" s="36" t="s">
        <v>160</v>
      </c>
    </row>
    <row r="73" spans="1:6" x14ac:dyDescent="0.35">
      <c r="A73" s="35">
        <v>45765</v>
      </c>
      <c r="B73" s="23"/>
      <c r="C73" s="23">
        <v>1000</v>
      </c>
      <c r="D73" s="23">
        <f>Table23453456879111215141617181920212223242526272834567891011345678910111235[[#This Row],[Cash]]+Table23453456879111215141617181920212223242526272834567891011345678910111235[[#This Row],[Account Transfer]]</f>
        <v>1000</v>
      </c>
      <c r="E73" s="22" t="s">
        <v>162</v>
      </c>
      <c r="F73" s="36" t="s">
        <v>103</v>
      </c>
    </row>
    <row r="74" spans="1:6" x14ac:dyDescent="0.35">
      <c r="A74" s="35">
        <v>45765</v>
      </c>
      <c r="B74" s="23"/>
      <c r="C74" s="23">
        <v>500</v>
      </c>
      <c r="D74" s="23">
        <f>Table23453456879111215141617181920212223242526272834567891011345678910111235[[#This Row],[Cash]]+Table23453456879111215141617181920212223242526272834567891011345678910111235[[#This Row],[Account Transfer]]</f>
        <v>500</v>
      </c>
      <c r="E74" s="22" t="s">
        <v>163</v>
      </c>
      <c r="F74" s="36" t="s">
        <v>103</v>
      </c>
    </row>
    <row r="75" spans="1:6" x14ac:dyDescent="0.35">
      <c r="A75" s="35">
        <v>45766</v>
      </c>
      <c r="B75" s="23">
        <v>50</v>
      </c>
      <c r="C75" s="23"/>
      <c r="D75" s="23">
        <f>Table23453456879111215141617181920212223242526272834567891011345678910111235[[#This Row],[Cash]]+Table23453456879111215141617181920212223242526272834567891011345678910111235[[#This Row],[Account Transfer]]</f>
        <v>50</v>
      </c>
      <c r="E75" s="22" t="s">
        <v>26</v>
      </c>
      <c r="F75" s="36" t="s">
        <v>48</v>
      </c>
    </row>
    <row r="76" spans="1:6" x14ac:dyDescent="0.35">
      <c r="A76" s="35">
        <v>45766</v>
      </c>
      <c r="B76" s="23">
        <v>60</v>
      </c>
      <c r="C76" s="23"/>
      <c r="D76" s="23">
        <f>Table23453456879111215141617181920212223242526272834567891011345678910111235[[#This Row],[Cash]]+Table23453456879111215141617181920212223242526272834567891011345678910111235[[#This Row],[Account Transfer]]</f>
        <v>60</v>
      </c>
      <c r="E76" s="22" t="s">
        <v>26</v>
      </c>
      <c r="F76" s="36" t="s">
        <v>48</v>
      </c>
    </row>
    <row r="77" spans="1:6" x14ac:dyDescent="0.35">
      <c r="A77" s="35">
        <v>45767</v>
      </c>
      <c r="B77" s="23">
        <v>280</v>
      </c>
      <c r="C77" s="23"/>
      <c r="D77" s="23">
        <f>Table23453456879111215141617181920212223242526272834567891011345678910111235[[#This Row],[Cash]]+Table23453456879111215141617181920212223242526272834567891011345678910111235[[#This Row],[Account Transfer]]</f>
        <v>280</v>
      </c>
      <c r="E77" s="22" t="s">
        <v>168</v>
      </c>
      <c r="F77" s="36" t="s">
        <v>45</v>
      </c>
    </row>
    <row r="78" spans="1:6" x14ac:dyDescent="0.35">
      <c r="A78" s="35">
        <v>45767</v>
      </c>
      <c r="B78" s="23">
        <v>100</v>
      </c>
      <c r="C78" s="23"/>
      <c r="D78" s="23">
        <f>Table23453456879111215141617181920212223242526272834567891011345678910111235[[#This Row],[Cash]]+Table23453456879111215141617181920212223242526272834567891011345678910111235[[#This Row],[Account Transfer]]</f>
        <v>100</v>
      </c>
      <c r="E78" s="22" t="s">
        <v>169</v>
      </c>
      <c r="F78" s="36" t="s">
        <v>45</v>
      </c>
    </row>
    <row r="79" spans="1:6" x14ac:dyDescent="0.35">
      <c r="A79" s="35">
        <v>45767</v>
      </c>
      <c r="B79" s="23">
        <v>80</v>
      </c>
      <c r="C79" s="23"/>
      <c r="D79" s="23">
        <f>Table23453456879111215141617181920212223242526272834567891011345678910111235[[#This Row],[Cash]]+Table23453456879111215141617181920212223242526272834567891011345678910111235[[#This Row],[Account Transfer]]</f>
        <v>80</v>
      </c>
      <c r="E79" s="22" t="s">
        <v>26</v>
      </c>
      <c r="F79" s="36" t="s">
        <v>74</v>
      </c>
    </row>
    <row r="80" spans="1:6" x14ac:dyDescent="0.35">
      <c r="A80" s="35">
        <v>45767</v>
      </c>
      <c r="B80" s="23">
        <v>200</v>
      </c>
      <c r="C80" s="23"/>
      <c r="D80" s="23">
        <f>Table23453456879111215141617181920212223242526272834567891011345678910111235[[#This Row],[Cash]]+Table23453456879111215141617181920212223242526272834567891011345678910111235[[#This Row],[Account Transfer]]</f>
        <v>200</v>
      </c>
      <c r="E80" s="22" t="s">
        <v>26</v>
      </c>
      <c r="F80" s="36" t="s">
        <v>42</v>
      </c>
    </row>
    <row r="81" spans="1:6" x14ac:dyDescent="0.35">
      <c r="A81" s="35">
        <v>45767</v>
      </c>
      <c r="B81" s="23"/>
      <c r="C81" s="23">
        <v>11188</v>
      </c>
      <c r="D81" s="23">
        <f>Table23453456879111215141617181920212223242526272834567891011345678910111235[[#This Row],[Cash]]+Table23453456879111215141617181920212223242526272834567891011345678910111235[[#This Row],[Account Transfer]]</f>
        <v>11188</v>
      </c>
      <c r="E81" s="22" t="s">
        <v>170</v>
      </c>
      <c r="F81" s="36" t="s">
        <v>45</v>
      </c>
    </row>
    <row r="82" spans="1:6" x14ac:dyDescent="0.35">
      <c r="A82" s="35">
        <v>45767</v>
      </c>
      <c r="B82" s="23">
        <v>300</v>
      </c>
      <c r="C82" s="23"/>
      <c r="D82" s="23">
        <f>Table23453456879111215141617181920212223242526272834567891011345678910111235[[#This Row],[Cash]]+Table23453456879111215141617181920212223242526272834567891011345678910111235[[#This Row],[Account Transfer]]</f>
        <v>300</v>
      </c>
      <c r="E82" s="22" t="s">
        <v>108</v>
      </c>
      <c r="F82" s="36" t="s">
        <v>74</v>
      </c>
    </row>
    <row r="83" spans="1:6" x14ac:dyDescent="0.35">
      <c r="A83" s="35">
        <v>45767</v>
      </c>
      <c r="B83" s="23"/>
      <c r="C83" s="23">
        <v>25000</v>
      </c>
      <c r="D83" s="23">
        <f>Table23453456879111215141617181920212223242526272834567891011345678910111235[[#This Row],[Cash]]+Table23453456879111215141617181920212223242526272834567891011345678910111235[[#This Row],[Account Transfer]]</f>
        <v>25000</v>
      </c>
      <c r="E83" s="22" t="s">
        <v>171</v>
      </c>
      <c r="F83" s="36" t="s">
        <v>45</v>
      </c>
    </row>
    <row r="84" spans="1:6" x14ac:dyDescent="0.35">
      <c r="A84" s="35">
        <v>45767</v>
      </c>
      <c r="B84" s="23"/>
      <c r="C84" s="23">
        <v>60000</v>
      </c>
      <c r="D84" s="23">
        <f>Table23453456879111215141617181920212223242526272834567891011345678910111235[[#This Row],[Cash]]+Table23453456879111215141617181920212223242526272834567891011345678910111235[[#This Row],[Account Transfer]]</f>
        <v>60000</v>
      </c>
      <c r="E84" s="22" t="s">
        <v>172</v>
      </c>
      <c r="F84" s="36" t="s">
        <v>75</v>
      </c>
    </row>
    <row r="85" spans="1:6" x14ac:dyDescent="0.35">
      <c r="A85" s="35">
        <v>45767</v>
      </c>
      <c r="B85" s="23">
        <v>50000</v>
      </c>
      <c r="C85" s="23"/>
      <c r="D85" s="23">
        <f>Table23453456879111215141617181920212223242526272834567891011345678910111235[[#This Row],[Cash]]+Table23453456879111215141617181920212223242526272834567891011345678910111235[[#This Row],[Account Transfer]]</f>
        <v>50000</v>
      </c>
      <c r="E85" s="22" t="s">
        <v>172</v>
      </c>
      <c r="F85" s="36" t="s">
        <v>75</v>
      </c>
    </row>
    <row r="86" spans="1:6" x14ac:dyDescent="0.35">
      <c r="A86" s="35">
        <v>45768</v>
      </c>
      <c r="B86" s="23"/>
      <c r="C86" s="23">
        <v>20000</v>
      </c>
      <c r="D86" s="23">
        <f>Table23453456879111215141617181920212223242526272834567891011345678910111235[[#This Row],[Cash]]+Table23453456879111215141617181920212223242526272834567891011345678910111235[[#This Row],[Account Transfer]]</f>
        <v>20000</v>
      </c>
      <c r="E86" s="22" t="s">
        <v>175</v>
      </c>
      <c r="F86" s="36" t="s">
        <v>46</v>
      </c>
    </row>
    <row r="87" spans="1:6" x14ac:dyDescent="0.35">
      <c r="A87" s="35">
        <v>45768</v>
      </c>
      <c r="B87" s="23">
        <v>200</v>
      </c>
      <c r="C87" s="23"/>
      <c r="D87" s="23">
        <f>Table23453456879111215141617181920212223242526272834567891011345678910111235[[#This Row],[Cash]]+Table23453456879111215141617181920212223242526272834567891011345678910111235[[#This Row],[Account Transfer]]</f>
        <v>200</v>
      </c>
      <c r="E87" s="22" t="s">
        <v>26</v>
      </c>
      <c r="F87" s="36" t="s">
        <v>48</v>
      </c>
    </row>
    <row r="88" spans="1:6" x14ac:dyDescent="0.35">
      <c r="A88" s="35">
        <v>45768</v>
      </c>
      <c r="B88" s="23">
        <v>150</v>
      </c>
      <c r="C88" s="23"/>
      <c r="D88" s="23">
        <f>Table23453456879111215141617181920212223242526272834567891011345678910111235[[#This Row],[Cash]]+Table23453456879111215141617181920212223242526272834567891011345678910111235[[#This Row],[Account Transfer]]</f>
        <v>150</v>
      </c>
      <c r="E88" s="22" t="s">
        <v>26</v>
      </c>
      <c r="F88" s="36" t="s">
        <v>47</v>
      </c>
    </row>
    <row r="89" spans="1:6" x14ac:dyDescent="0.35">
      <c r="A89" s="35">
        <v>45769</v>
      </c>
      <c r="B89" s="23">
        <v>40</v>
      </c>
      <c r="C89" s="23"/>
      <c r="D89" s="23">
        <f>Table23453456879111215141617181920212223242526272834567891011345678910111235[[#This Row],[Cash]]+Table23453456879111215141617181920212223242526272834567891011345678910111235[[#This Row],[Account Transfer]]</f>
        <v>40</v>
      </c>
      <c r="E89" s="22" t="s">
        <v>169</v>
      </c>
      <c r="F89" s="36" t="s">
        <v>74</v>
      </c>
    </row>
    <row r="90" spans="1:6" x14ac:dyDescent="0.35">
      <c r="A90" s="35">
        <v>45769</v>
      </c>
      <c r="B90" s="23">
        <v>90</v>
      </c>
      <c r="C90" s="23"/>
      <c r="D90" s="23">
        <f>Table23453456879111215141617181920212223242526272834567891011345678910111235[[#This Row],[Cash]]+Table23453456879111215141617181920212223242526272834567891011345678910111235[[#This Row],[Account Transfer]]</f>
        <v>90</v>
      </c>
      <c r="E90" s="22" t="s">
        <v>26</v>
      </c>
      <c r="F90" s="36" t="s">
        <v>74</v>
      </c>
    </row>
    <row r="91" spans="1:6" x14ac:dyDescent="0.35">
      <c r="A91" s="35">
        <v>45769</v>
      </c>
      <c r="B91" s="23">
        <v>880</v>
      </c>
      <c r="C91" s="23"/>
      <c r="D91" s="23">
        <f>Table23453456879111215141617181920212223242526272834567891011345678910111235[[#This Row],[Cash]]+Table23453456879111215141617181920212223242526272834567891011345678910111235[[#This Row],[Account Transfer]]</f>
        <v>880</v>
      </c>
      <c r="E91" s="22" t="s">
        <v>120</v>
      </c>
      <c r="F91" s="36" t="s">
        <v>45</v>
      </c>
    </row>
    <row r="92" spans="1:6" x14ac:dyDescent="0.35">
      <c r="A92" s="35">
        <v>45770</v>
      </c>
      <c r="B92" s="23">
        <v>100</v>
      </c>
      <c r="C92" s="23"/>
      <c r="D92" s="23">
        <f>Table23453456879111215141617181920212223242526272834567891011345678910111235[[#This Row],[Cash]]+Table23453456879111215141617181920212223242526272834567891011345678910111235[[#This Row],[Account Transfer]]</f>
        <v>100</v>
      </c>
      <c r="E92" s="22" t="s">
        <v>129</v>
      </c>
      <c r="F92" s="36" t="s">
        <v>42</v>
      </c>
    </row>
    <row r="93" spans="1:6" x14ac:dyDescent="0.35">
      <c r="A93" s="35">
        <v>45770</v>
      </c>
      <c r="B93" s="23">
        <v>140</v>
      </c>
      <c r="C93" s="23"/>
      <c r="D93" s="23">
        <f>Table23453456879111215141617181920212223242526272834567891011345678910111235[[#This Row],[Cash]]+Table23453456879111215141617181920212223242526272834567891011345678910111235[[#This Row],[Account Transfer]]</f>
        <v>140</v>
      </c>
      <c r="E93" s="22" t="s">
        <v>73</v>
      </c>
      <c r="F93" s="36" t="s">
        <v>48</v>
      </c>
    </row>
    <row r="94" spans="1:6" x14ac:dyDescent="0.35">
      <c r="A94" s="35">
        <v>45770</v>
      </c>
      <c r="B94" s="23">
        <v>120</v>
      </c>
      <c r="C94" s="23"/>
      <c r="D94" s="23">
        <f>Table23453456879111215141617181920212223242526272834567891011345678910111235[[#This Row],[Cash]]+Table23453456879111215141617181920212223242526272834567891011345678910111235[[#This Row],[Account Transfer]]</f>
        <v>120</v>
      </c>
      <c r="E94" s="22" t="s">
        <v>26</v>
      </c>
      <c r="F94" s="36" t="s">
        <v>48</v>
      </c>
    </row>
    <row r="95" spans="1:6" x14ac:dyDescent="0.35">
      <c r="A95" s="35">
        <v>45770</v>
      </c>
      <c r="B95" s="23">
        <v>1000</v>
      </c>
      <c r="C95" s="23"/>
      <c r="D95" s="23">
        <f>Table23453456879111215141617181920212223242526272834567891011345678910111235[[#This Row],[Cash]]+Table23453456879111215141617181920212223242526272834567891011345678910111235[[#This Row],[Account Transfer]]</f>
        <v>1000</v>
      </c>
      <c r="E95" s="22" t="s">
        <v>69</v>
      </c>
      <c r="F95" s="36" t="s">
        <v>48</v>
      </c>
    </row>
    <row r="96" spans="1:6" x14ac:dyDescent="0.35">
      <c r="A96" s="35">
        <v>45770</v>
      </c>
      <c r="B96" s="23"/>
      <c r="C96" s="23">
        <v>1500</v>
      </c>
      <c r="D96" s="23">
        <f>Table23453456879111215141617181920212223242526272834567891011345678910111235[[#This Row],[Cash]]+Table23453456879111215141617181920212223242526272834567891011345678910111235[[#This Row],[Account Transfer]]</f>
        <v>1500</v>
      </c>
      <c r="E96" s="22" t="s">
        <v>67</v>
      </c>
      <c r="F96" s="36" t="s">
        <v>45</v>
      </c>
    </row>
    <row r="97" spans="1:6" x14ac:dyDescent="0.35">
      <c r="A97" s="35">
        <v>45770</v>
      </c>
      <c r="B97" s="23"/>
      <c r="C97" s="23">
        <v>47000</v>
      </c>
      <c r="D97" s="23">
        <f>Table23453456879111215141617181920212223242526272834567891011345678910111235[[#This Row],[Cash]]+Table23453456879111215141617181920212223242526272834567891011345678910111235[[#This Row],[Account Transfer]]</f>
        <v>47000</v>
      </c>
      <c r="E97" s="22" t="s">
        <v>180</v>
      </c>
      <c r="F97" s="36" t="s">
        <v>45</v>
      </c>
    </row>
    <row r="98" spans="1:6" x14ac:dyDescent="0.35">
      <c r="A98" s="35">
        <v>45770</v>
      </c>
      <c r="B98" s="23"/>
      <c r="C98" s="23">
        <v>5000</v>
      </c>
      <c r="D98" s="23">
        <f>Table23453456879111215141617181920212223242526272834567891011345678910111235[[#This Row],[Cash]]+Table23453456879111215141617181920212223242526272834567891011345678910111235[[#This Row],[Account Transfer]]</f>
        <v>5000</v>
      </c>
      <c r="E98" s="22" t="s">
        <v>181</v>
      </c>
      <c r="F98" s="36" t="s">
        <v>45</v>
      </c>
    </row>
    <row r="99" spans="1:6" x14ac:dyDescent="0.35">
      <c r="A99" s="35">
        <v>45770</v>
      </c>
      <c r="B99" s="23"/>
      <c r="C99" s="23">
        <v>3000</v>
      </c>
      <c r="D99" s="23">
        <f>Table23453456879111215141617181920212223242526272834567891011345678910111235[[#This Row],[Cash]]+Table23453456879111215141617181920212223242526272834567891011345678910111235[[#This Row],[Account Transfer]]</f>
        <v>3000</v>
      </c>
      <c r="E99" s="22" t="s">
        <v>183</v>
      </c>
      <c r="F99" s="36" t="s">
        <v>103</v>
      </c>
    </row>
    <row r="100" spans="1:6" x14ac:dyDescent="0.35">
      <c r="A100" s="35">
        <v>45770</v>
      </c>
      <c r="B100" s="23">
        <v>550</v>
      </c>
      <c r="C100" s="23"/>
      <c r="D100" s="23">
        <f>Table23453456879111215141617181920212223242526272834567891011345678910111235[[#This Row],[Cash]]+Table23453456879111215141617181920212223242526272834567891011345678910111235[[#This Row],[Account Transfer]]</f>
        <v>550</v>
      </c>
      <c r="E100" s="22" t="s">
        <v>109</v>
      </c>
      <c r="F100" s="36" t="s">
        <v>48</v>
      </c>
    </row>
    <row r="101" spans="1:6" x14ac:dyDescent="0.35">
      <c r="A101" s="35">
        <v>45771</v>
      </c>
      <c r="B101" s="23">
        <v>150</v>
      </c>
      <c r="C101" s="23"/>
      <c r="D101" s="23">
        <f>Table23453456879111215141617181920212223242526272834567891011345678910111235[[#This Row],[Cash]]+Table23453456879111215141617181920212223242526272834567891011345678910111235[[#This Row],[Account Transfer]]</f>
        <v>150</v>
      </c>
      <c r="E101" s="22" t="s">
        <v>26</v>
      </c>
      <c r="F101" s="36" t="s">
        <v>48</v>
      </c>
    </row>
    <row r="102" spans="1:6" x14ac:dyDescent="0.35">
      <c r="A102" s="35">
        <v>45771</v>
      </c>
      <c r="B102" s="23"/>
      <c r="C102" s="23">
        <v>500</v>
      </c>
      <c r="D102" s="23">
        <f>Table23453456879111215141617181920212223242526272834567891011345678910111235[[#This Row],[Cash]]+Table23453456879111215141617181920212223242526272834567891011345678910111235[[#This Row],[Account Transfer]]</f>
        <v>500</v>
      </c>
      <c r="E102" s="22" t="s">
        <v>182</v>
      </c>
      <c r="F102" s="36" t="s">
        <v>103</v>
      </c>
    </row>
    <row r="103" spans="1:6" x14ac:dyDescent="0.35">
      <c r="A103" s="35">
        <v>45771</v>
      </c>
      <c r="B103" s="23"/>
      <c r="C103" s="23">
        <v>1500</v>
      </c>
      <c r="D103" s="23">
        <f>Table23453456879111215141617181920212223242526272834567891011345678910111235[[#This Row],[Cash]]+Table23453456879111215141617181920212223242526272834567891011345678910111235[[#This Row],[Account Transfer]]</f>
        <v>1500</v>
      </c>
      <c r="E103" s="22" t="s">
        <v>184</v>
      </c>
      <c r="F103" s="36" t="s">
        <v>103</v>
      </c>
    </row>
    <row r="104" spans="1:6" x14ac:dyDescent="0.35">
      <c r="A104" s="35">
        <v>45772</v>
      </c>
      <c r="B104" s="23">
        <v>500</v>
      </c>
      <c r="C104" s="23"/>
      <c r="D104" s="23">
        <f>Table23453456879111215141617181920212223242526272834567891011345678910111235[[#This Row],[Cash]]+Table23453456879111215141617181920212223242526272834567891011345678910111235[[#This Row],[Account Transfer]]</f>
        <v>500</v>
      </c>
      <c r="E104" s="22" t="s">
        <v>178</v>
      </c>
      <c r="F104" s="36" t="s">
        <v>45</v>
      </c>
    </row>
    <row r="105" spans="1:6" x14ac:dyDescent="0.35">
      <c r="A105" s="35">
        <v>45772</v>
      </c>
      <c r="B105" s="23">
        <v>2000</v>
      </c>
      <c r="C105" s="23"/>
      <c r="D105" s="23">
        <f>Table23453456879111215141617181920212223242526272834567891011345678910111235[[#This Row],[Cash]]+Table23453456879111215141617181920212223242526272834567891011345678910111235[[#This Row],[Account Transfer]]</f>
        <v>2000</v>
      </c>
      <c r="E105" s="22" t="s">
        <v>113</v>
      </c>
      <c r="F105" s="36" t="s">
        <v>45</v>
      </c>
    </row>
    <row r="106" spans="1:6" x14ac:dyDescent="0.35">
      <c r="A106" s="35">
        <v>45772</v>
      </c>
      <c r="B106" s="23">
        <v>120</v>
      </c>
      <c r="C106" s="23"/>
      <c r="D106" s="23">
        <f>Table23453456879111215141617181920212223242526272834567891011345678910111235[[#This Row],[Cash]]+Table23453456879111215141617181920212223242526272834567891011345678910111235[[#This Row],[Account Transfer]]</f>
        <v>120</v>
      </c>
      <c r="E106" s="22" t="s">
        <v>26</v>
      </c>
      <c r="F106" s="36" t="s">
        <v>48</v>
      </c>
    </row>
    <row r="107" spans="1:6" x14ac:dyDescent="0.35">
      <c r="A107" s="35">
        <v>45772</v>
      </c>
      <c r="B107" s="23">
        <v>500</v>
      </c>
      <c r="C107" s="23"/>
      <c r="D107" s="23">
        <f>Table23453456879111215141617181920212223242526272834567891011345678910111235[[#This Row],[Cash]]+Table23453456879111215141617181920212223242526272834567891011345678910111235[[#This Row],[Account Transfer]]</f>
        <v>500</v>
      </c>
      <c r="E107" s="22" t="s">
        <v>179</v>
      </c>
      <c r="F107" s="36" t="s">
        <v>48</v>
      </c>
    </row>
    <row r="108" spans="1:6" x14ac:dyDescent="0.35">
      <c r="A108" s="35">
        <v>45773</v>
      </c>
      <c r="B108" s="23"/>
      <c r="C108" s="23">
        <v>3000</v>
      </c>
      <c r="D108" s="23">
        <f>Table23453456879111215141617181920212223242526272834567891011345678910111235[[#This Row],[Cash]]+Table23453456879111215141617181920212223242526272834567891011345678910111235[[#This Row],[Account Transfer]]</f>
        <v>3000</v>
      </c>
      <c r="E108" s="22" t="s">
        <v>185</v>
      </c>
      <c r="F108" s="36" t="s">
        <v>45</v>
      </c>
    </row>
    <row r="109" spans="1:6" x14ac:dyDescent="0.35">
      <c r="A109" s="35">
        <v>45773</v>
      </c>
      <c r="B109" s="23">
        <v>1000</v>
      </c>
      <c r="C109" s="23"/>
      <c r="D109" s="23">
        <f>Table23453456879111215141617181920212223242526272834567891011345678910111235[[#This Row],[Cash]]+Table23453456879111215141617181920212223242526272834567891011345678910111235[[#This Row],[Account Transfer]]</f>
        <v>1000</v>
      </c>
      <c r="E109" s="22" t="s">
        <v>186</v>
      </c>
      <c r="F109" s="36" t="s">
        <v>48</v>
      </c>
    </row>
    <row r="110" spans="1:6" x14ac:dyDescent="0.35">
      <c r="A110" s="35">
        <v>45773</v>
      </c>
      <c r="B110" s="23">
        <v>1000</v>
      </c>
      <c r="C110" s="23"/>
      <c r="D110" s="23">
        <f>Table23453456879111215141617181920212223242526272834567891011345678910111235[[#This Row],[Cash]]+Table23453456879111215141617181920212223242526272834567891011345678910111235[[#This Row],[Account Transfer]]</f>
        <v>1000</v>
      </c>
      <c r="E110" s="22" t="s">
        <v>187</v>
      </c>
      <c r="F110" s="36" t="s">
        <v>42</v>
      </c>
    </row>
    <row r="111" spans="1:6" x14ac:dyDescent="0.35">
      <c r="A111" s="35">
        <v>45773</v>
      </c>
      <c r="B111" s="23">
        <v>300</v>
      </c>
      <c r="C111" s="23"/>
      <c r="D111" s="23">
        <f>Table23453456879111215141617181920212223242526272834567891011345678910111235[[#This Row],[Cash]]+Table23453456879111215141617181920212223242526272834567891011345678910111235[[#This Row],[Account Transfer]]</f>
        <v>300</v>
      </c>
      <c r="E111" s="22" t="s">
        <v>179</v>
      </c>
      <c r="F111" s="36" t="s">
        <v>48</v>
      </c>
    </row>
    <row r="112" spans="1:6" x14ac:dyDescent="0.35">
      <c r="A112" s="35">
        <v>45773</v>
      </c>
      <c r="B112" s="23">
        <v>100</v>
      </c>
      <c r="C112" s="23"/>
      <c r="D112" s="23">
        <f>Table23453456879111215141617181920212223242526272834567891011345678910111235[[#This Row],[Cash]]+Table23453456879111215141617181920212223242526272834567891011345678910111235[[#This Row],[Account Transfer]]</f>
        <v>100</v>
      </c>
      <c r="E112" s="22" t="s">
        <v>26</v>
      </c>
      <c r="F112" s="36" t="s">
        <v>48</v>
      </c>
    </row>
    <row r="113" spans="1:6" x14ac:dyDescent="0.35">
      <c r="A113" s="35">
        <v>45773</v>
      </c>
      <c r="B113" s="23">
        <v>100</v>
      </c>
      <c r="C113" s="23"/>
      <c r="D113" s="23">
        <f>Table23453456879111215141617181920212223242526272834567891011345678910111235[[#This Row],[Cash]]+Table23453456879111215141617181920212223242526272834567891011345678910111235[[#This Row],[Account Transfer]]</f>
        <v>100</v>
      </c>
      <c r="E113" s="22" t="s">
        <v>188</v>
      </c>
      <c r="F113" s="36" t="s">
        <v>42</v>
      </c>
    </row>
    <row r="114" spans="1:6" x14ac:dyDescent="0.35">
      <c r="A114" s="35">
        <v>45773</v>
      </c>
      <c r="B114" s="23">
        <v>1000</v>
      </c>
      <c r="C114" s="23"/>
      <c r="D114" s="23">
        <f>Table23453456879111215141617181920212223242526272834567891011345678910111235[[#This Row],[Cash]]+Table23453456879111215141617181920212223242526272834567891011345678910111235[[#This Row],[Account Transfer]]</f>
        <v>1000</v>
      </c>
      <c r="E114" s="22" t="s">
        <v>69</v>
      </c>
      <c r="F114" s="36" t="s">
        <v>48</v>
      </c>
    </row>
    <row r="115" spans="1:6" x14ac:dyDescent="0.35">
      <c r="A115" s="35">
        <v>45774</v>
      </c>
      <c r="B115" s="23">
        <v>540</v>
      </c>
      <c r="C115" s="23"/>
      <c r="D115" s="23">
        <f>Table23453456879111215141617181920212223242526272834567891011345678910111235[[#This Row],[Cash]]+Table23453456879111215141617181920212223242526272834567891011345678910111235[[#This Row],[Account Transfer]]</f>
        <v>540</v>
      </c>
      <c r="E115" s="22" t="s">
        <v>117</v>
      </c>
      <c r="F115" s="36" t="s">
        <v>48</v>
      </c>
    </row>
    <row r="116" spans="1:6" x14ac:dyDescent="0.35">
      <c r="A116" s="35">
        <v>45774</v>
      </c>
      <c r="B116" s="23">
        <v>90</v>
      </c>
      <c r="C116" s="23"/>
      <c r="D116" s="23">
        <f>Table23453456879111215141617181920212223242526272834567891011345678910111235[[#This Row],[Cash]]+Table23453456879111215141617181920212223242526272834567891011345678910111235[[#This Row],[Account Transfer]]</f>
        <v>90</v>
      </c>
      <c r="E116" s="22" t="s">
        <v>26</v>
      </c>
      <c r="F116" s="36" t="s">
        <v>48</v>
      </c>
    </row>
    <row r="117" spans="1:6" x14ac:dyDescent="0.35">
      <c r="A117" s="35">
        <v>45774</v>
      </c>
      <c r="B117" s="23"/>
      <c r="C117" s="23">
        <v>10000</v>
      </c>
      <c r="D117" s="23">
        <f>Table23453456879111215141617181920212223242526272834567891011345678910111235[[#This Row],[Cash]]+Table23453456879111215141617181920212223242526272834567891011345678910111235[[#This Row],[Account Transfer]]</f>
        <v>10000</v>
      </c>
      <c r="E117" s="22" t="s">
        <v>175</v>
      </c>
      <c r="F117" s="36" t="s">
        <v>46</v>
      </c>
    </row>
    <row r="118" spans="1:6" x14ac:dyDescent="0.35">
      <c r="A118" s="35">
        <v>45775</v>
      </c>
      <c r="B118" s="23">
        <v>90</v>
      </c>
      <c r="C118" s="23"/>
      <c r="D118" s="23">
        <f>Table23453456879111215141617181920212223242526272834567891011345678910111235[[#This Row],[Cash]]+Table23453456879111215141617181920212223242526272834567891011345678910111235[[#This Row],[Account Transfer]]</f>
        <v>90</v>
      </c>
      <c r="E118" s="22" t="s">
        <v>26</v>
      </c>
      <c r="F118" s="36" t="s">
        <v>48</v>
      </c>
    </row>
    <row r="119" spans="1:6" x14ac:dyDescent="0.35">
      <c r="A119" s="35">
        <v>45776</v>
      </c>
      <c r="B119" s="23">
        <v>500</v>
      </c>
      <c r="C119" s="23"/>
      <c r="D119" s="23">
        <f>Table23453456879111215141617181920212223242526272834567891011345678910111235[[#This Row],[Cash]]+Table23453456879111215141617181920212223242526272834567891011345678910111235[[#This Row],[Account Transfer]]</f>
        <v>500</v>
      </c>
      <c r="E119" s="22" t="s">
        <v>129</v>
      </c>
      <c r="F119" s="36" t="s">
        <v>42</v>
      </c>
    </row>
    <row r="120" spans="1:6" x14ac:dyDescent="0.35">
      <c r="A120" s="35">
        <v>45776</v>
      </c>
      <c r="B120" s="23"/>
      <c r="C120" s="23">
        <v>1500</v>
      </c>
      <c r="D120" s="23">
        <f>Table23453456879111215141617181920212223242526272834567891011345678910111235[[#This Row],[Cash]]+Table23453456879111215141617181920212223242526272834567891011345678910111235[[#This Row],[Account Transfer]]</f>
        <v>1500</v>
      </c>
      <c r="E120" s="22" t="s">
        <v>97</v>
      </c>
      <c r="F120" s="36" t="s">
        <v>48</v>
      </c>
    </row>
    <row r="121" spans="1:6" x14ac:dyDescent="0.35">
      <c r="A121" s="35">
        <v>45776</v>
      </c>
      <c r="B121" s="23"/>
      <c r="C121" s="23">
        <v>7000</v>
      </c>
      <c r="D121" s="23">
        <f>Table23453456879111215141617181920212223242526272834567891011345678910111235[[#This Row],[Cash]]+Table23453456879111215141617181920212223242526272834567891011345678910111235[[#This Row],[Account Transfer]]</f>
        <v>7000</v>
      </c>
      <c r="E121" s="22" t="s">
        <v>192</v>
      </c>
      <c r="F121" s="36" t="s">
        <v>46</v>
      </c>
    </row>
    <row r="122" spans="1:6" x14ac:dyDescent="0.35">
      <c r="A122" s="35">
        <v>45776</v>
      </c>
      <c r="B122" s="23">
        <v>1000</v>
      </c>
      <c r="C122" s="23"/>
      <c r="D122" s="23">
        <f>Table23453456879111215141617181920212223242526272834567891011345678910111235[[#This Row],[Cash]]+Table23453456879111215141617181920212223242526272834567891011345678910111235[[#This Row],[Account Transfer]]</f>
        <v>1000</v>
      </c>
      <c r="E122" s="22" t="s">
        <v>69</v>
      </c>
      <c r="F122" s="36" t="s">
        <v>69</v>
      </c>
    </row>
    <row r="123" spans="1:6" x14ac:dyDescent="0.35">
      <c r="A123" s="35">
        <v>45776</v>
      </c>
      <c r="B123" s="23">
        <v>1000</v>
      </c>
      <c r="C123" s="23"/>
      <c r="D123" s="23">
        <f>Table23453456879111215141617181920212223242526272834567891011345678910111235[[#This Row],[Cash]]+Table23453456879111215141617181920212223242526272834567891011345678910111235[[#This Row],[Account Transfer]]</f>
        <v>1000</v>
      </c>
      <c r="E123" s="22" t="s">
        <v>120</v>
      </c>
      <c r="F123" s="36" t="s">
        <v>48</v>
      </c>
    </row>
    <row r="124" spans="1:6" x14ac:dyDescent="0.35">
      <c r="A124" s="35">
        <v>45777</v>
      </c>
      <c r="B124" s="23">
        <v>200</v>
      </c>
      <c r="C124" s="23"/>
      <c r="D124" s="23">
        <f>Table23453456879111215141617181920212223242526272834567891011345678910111235[[#This Row],[Cash]]+Table23453456879111215141617181920212223242526272834567891011345678910111235[[#This Row],[Account Transfer]]</f>
        <v>200</v>
      </c>
      <c r="E124" s="22" t="s">
        <v>120</v>
      </c>
      <c r="F124" s="36" t="s">
        <v>48</v>
      </c>
    </row>
    <row r="125" spans="1:6" x14ac:dyDescent="0.35">
      <c r="A125" s="35">
        <v>45777</v>
      </c>
      <c r="B125" s="23">
        <v>80</v>
      </c>
      <c r="C125" s="23"/>
      <c r="D125" s="23">
        <f>Table23453456879111215141617181920212223242526272834567891011345678910111235[[#This Row],[Cash]]+Table23453456879111215141617181920212223242526272834567891011345678910111235[[#This Row],[Account Transfer]]</f>
        <v>80</v>
      </c>
      <c r="E125" s="22" t="s">
        <v>26</v>
      </c>
      <c r="F125" s="36" t="s">
        <v>42</v>
      </c>
    </row>
    <row r="126" spans="1:6" x14ac:dyDescent="0.35">
      <c r="A126" s="35">
        <v>45777</v>
      </c>
      <c r="B126" s="23">
        <v>100</v>
      </c>
      <c r="C126" s="23"/>
      <c r="D126" s="23">
        <f>Table23453456879111215141617181920212223242526272834567891011345678910111235[[#This Row],[Cash]]+Table23453456879111215141617181920212223242526272834567891011345678910111235[[#This Row],[Account Transfer]]</f>
        <v>100</v>
      </c>
      <c r="E126" s="22" t="s">
        <v>129</v>
      </c>
      <c r="F126" s="36" t="s">
        <v>42</v>
      </c>
    </row>
    <row r="127" spans="1:6" x14ac:dyDescent="0.35">
      <c r="A127" s="35">
        <v>45777</v>
      </c>
      <c r="B127" s="23">
        <v>200</v>
      </c>
      <c r="C127" s="23"/>
      <c r="D127" s="23">
        <f>Table23453456879111215141617181920212223242526272834567891011345678910111235[[#This Row],[Cash]]+Table23453456879111215141617181920212223242526272834567891011345678910111235[[#This Row],[Account Transfer]]</f>
        <v>200</v>
      </c>
      <c r="E127" s="22" t="s">
        <v>199</v>
      </c>
      <c r="F127" s="36" t="s">
        <v>42</v>
      </c>
    </row>
    <row r="128" spans="1:6" x14ac:dyDescent="0.35">
      <c r="A128" s="35"/>
      <c r="B128" s="23"/>
      <c r="C128" s="23"/>
      <c r="D128" s="23">
        <f>Table23453456879111215141617181920212223242526272834567891011345678910111235[[#This Row],[Cash]]+Table23453456879111215141617181920212223242526272834567891011345678910111235[[#This Row],[Account Transfer]]</f>
        <v>0</v>
      </c>
      <c r="E128" s="22"/>
      <c r="F128" s="36"/>
    </row>
    <row r="129" spans="1:6" x14ac:dyDescent="0.35">
      <c r="A129" s="35"/>
      <c r="B129" s="23"/>
      <c r="C129" s="23"/>
      <c r="D129" s="23">
        <f>Table23453456879111215141617181920212223242526272834567891011345678910111235[[#This Row],[Cash]]+Table23453456879111215141617181920212223242526272834567891011345678910111235[[#This Row],[Account Transfer]]</f>
        <v>0</v>
      </c>
      <c r="E129" s="22"/>
      <c r="F129" s="36"/>
    </row>
    <row r="130" spans="1:6" x14ac:dyDescent="0.35">
      <c r="A130" s="35"/>
      <c r="B130" s="23"/>
      <c r="C130" s="23"/>
      <c r="D130" s="23">
        <f>Table23453456879111215141617181920212223242526272834567891011345678910111235[[#This Row],[Cash]]+Table23453456879111215141617181920212223242526272834567891011345678910111235[[#This Row],[Account Transfer]]</f>
        <v>0</v>
      </c>
      <c r="E130" s="22"/>
      <c r="F130" s="36"/>
    </row>
    <row r="131" spans="1:6" x14ac:dyDescent="0.35">
      <c r="A131" s="35"/>
      <c r="B131" s="23"/>
      <c r="C131" s="23"/>
      <c r="D131" s="23">
        <f>Table23453456879111215141617181920212223242526272834567891011345678910111235[[#This Row],[Cash]]+Table23453456879111215141617181920212223242526272834567891011345678910111235[[#This Row],[Account Transfer]]</f>
        <v>0</v>
      </c>
      <c r="E131" s="22"/>
      <c r="F131" s="36"/>
    </row>
    <row r="132" spans="1:6" x14ac:dyDescent="0.35">
      <c r="A132" s="35"/>
      <c r="B132" s="23"/>
      <c r="C132" s="23"/>
      <c r="D132" s="23">
        <f>Table23453456879111215141617181920212223242526272834567891011345678910111235[[#This Row],[Cash]]+Table23453456879111215141617181920212223242526272834567891011345678910111235[[#This Row],[Account Transfer]]</f>
        <v>0</v>
      </c>
      <c r="E132" s="22"/>
      <c r="F132" s="36"/>
    </row>
    <row r="133" spans="1:6" x14ac:dyDescent="0.35">
      <c r="A133" s="35"/>
      <c r="B133" s="23"/>
      <c r="C133" s="23"/>
      <c r="D133" s="23">
        <f>Table23453456879111215141617181920212223242526272834567891011345678910111235[[#This Row],[Cash]]+Table23453456879111215141617181920212223242526272834567891011345678910111235[[#This Row],[Account Transfer]]</f>
        <v>0</v>
      </c>
      <c r="E133" s="22"/>
      <c r="F133" s="36"/>
    </row>
    <row r="134" spans="1:6" x14ac:dyDescent="0.35">
      <c r="A134" s="35"/>
      <c r="B134" s="23"/>
      <c r="C134" s="23"/>
      <c r="D134" s="23">
        <f>Table23453456879111215141617181920212223242526272834567891011345678910111235[[#This Row],[Cash]]+Table23453456879111215141617181920212223242526272834567891011345678910111235[[#This Row],[Account Transfer]]</f>
        <v>0</v>
      </c>
      <c r="E134" s="22"/>
      <c r="F134" s="36"/>
    </row>
    <row r="135" spans="1:6" x14ac:dyDescent="0.35">
      <c r="A135" s="35"/>
      <c r="B135" s="23"/>
      <c r="C135" s="23"/>
      <c r="D135" s="23">
        <f>Table23453456879111215141617181920212223242526272834567891011345678910111235[[#This Row],[Cash]]+Table23453456879111215141617181920212223242526272834567891011345678910111235[[#This Row],[Account Transfer]]</f>
        <v>0</v>
      </c>
      <c r="E135" s="22"/>
      <c r="F135" s="36"/>
    </row>
    <row r="136" spans="1:6" x14ac:dyDescent="0.35">
      <c r="A136" s="35"/>
      <c r="B136" s="23"/>
      <c r="C136" s="23"/>
      <c r="D136" s="23">
        <f>Table23453456879111215141617181920212223242526272834567891011345678910111235[[#This Row],[Cash]]+Table23453456879111215141617181920212223242526272834567891011345678910111235[[#This Row],[Account Transfer]]</f>
        <v>0</v>
      </c>
      <c r="E136" s="22"/>
      <c r="F136" s="36"/>
    </row>
    <row r="137" spans="1:6" x14ac:dyDescent="0.35">
      <c r="A137" s="35"/>
      <c r="B137" s="23"/>
      <c r="C137" s="23"/>
      <c r="D137" s="23">
        <f>Table23453456879111215141617181920212223242526272834567891011345678910111235[[#This Row],[Cash]]+Table23453456879111215141617181920212223242526272834567891011345678910111235[[#This Row],[Account Transfer]]</f>
        <v>0</v>
      </c>
      <c r="E137" s="22"/>
      <c r="F137" s="36"/>
    </row>
    <row r="138" spans="1:6" x14ac:dyDescent="0.35">
      <c r="A138" s="35"/>
      <c r="B138" s="23"/>
      <c r="C138" s="23"/>
      <c r="D138" s="23">
        <f>Table23453456879111215141617181920212223242526272834567891011345678910111235[[#This Row],[Cash]]+Table23453456879111215141617181920212223242526272834567891011345678910111235[[#This Row],[Account Transfer]]</f>
        <v>0</v>
      </c>
      <c r="E138" s="22"/>
      <c r="F138" s="36"/>
    </row>
    <row r="139" spans="1:6" x14ac:dyDescent="0.35">
      <c r="A139" s="35"/>
      <c r="B139" s="23"/>
      <c r="C139" s="23"/>
      <c r="D139" s="23">
        <f>Table23453456879111215141617181920212223242526272834567891011345678910111235[[#This Row],[Cash]]+Table23453456879111215141617181920212223242526272834567891011345678910111235[[#This Row],[Account Transfer]]</f>
        <v>0</v>
      </c>
      <c r="E139" s="22"/>
      <c r="F139" s="36"/>
    </row>
    <row r="140" spans="1:6" x14ac:dyDescent="0.35">
      <c r="A140" s="35"/>
      <c r="B140" s="23"/>
      <c r="C140" s="23"/>
      <c r="D140" s="23">
        <f>Table23453456879111215141617181920212223242526272834567891011345678910111235[[#This Row],[Cash]]+Table23453456879111215141617181920212223242526272834567891011345678910111235[[#This Row],[Account Transfer]]</f>
        <v>0</v>
      </c>
      <c r="E140" s="22"/>
      <c r="F140" s="36"/>
    </row>
    <row r="141" spans="1:6" x14ac:dyDescent="0.35">
      <c r="A141" s="35"/>
      <c r="B141" s="23"/>
      <c r="C141" s="23"/>
      <c r="D141" s="23">
        <f>Table23453456879111215141617181920212223242526272834567891011345678910111235[[#This Row],[Cash]]+Table23453456879111215141617181920212223242526272834567891011345678910111235[[#This Row],[Account Transfer]]</f>
        <v>0</v>
      </c>
      <c r="E141" s="22"/>
      <c r="F141" s="36"/>
    </row>
    <row r="142" spans="1:6" x14ac:dyDescent="0.35">
      <c r="A142" s="35"/>
      <c r="B142" s="23"/>
      <c r="C142" s="23"/>
      <c r="D142" s="23">
        <f>Table23453456879111215141617181920212223242526272834567891011345678910111235[[#This Row],[Cash]]+Table23453456879111215141617181920212223242526272834567891011345678910111235[[#This Row],[Account Transfer]]</f>
        <v>0</v>
      </c>
      <c r="E142" s="22"/>
      <c r="F142" s="36"/>
    </row>
    <row r="143" spans="1:6" x14ac:dyDescent="0.35">
      <c r="A143" s="35"/>
      <c r="B143" s="23"/>
      <c r="C143" s="23"/>
      <c r="D143" s="23">
        <f>Table23453456879111215141617181920212223242526272834567891011345678910111235[[#This Row],[Cash]]+Table23453456879111215141617181920212223242526272834567891011345678910111235[[#This Row],[Account Transfer]]</f>
        <v>0</v>
      </c>
      <c r="E143" s="22"/>
      <c r="F143" s="36"/>
    </row>
    <row r="144" spans="1:6" x14ac:dyDescent="0.35">
      <c r="A144" s="35"/>
      <c r="B144" s="23"/>
      <c r="C144" s="23"/>
      <c r="D144" s="23">
        <f>Table23453456879111215141617181920212223242526272834567891011345678910111235[[#This Row],[Cash]]+Table23453456879111215141617181920212223242526272834567891011345678910111235[[#This Row],[Account Transfer]]</f>
        <v>0</v>
      </c>
      <c r="E144" s="22"/>
      <c r="F144" s="36"/>
    </row>
    <row r="145" spans="1:6" x14ac:dyDescent="0.35">
      <c r="A145" s="35"/>
      <c r="B145" s="23"/>
      <c r="C145" s="23"/>
      <c r="D145" s="23">
        <f>Table23453456879111215141617181920212223242526272834567891011345678910111235[[#This Row],[Cash]]+Table23453456879111215141617181920212223242526272834567891011345678910111235[[#This Row],[Account Transfer]]</f>
        <v>0</v>
      </c>
      <c r="E145" s="22"/>
      <c r="F145" s="36"/>
    </row>
    <row r="146" spans="1:6" x14ac:dyDescent="0.35">
      <c r="A146" s="35"/>
      <c r="B146" s="23"/>
      <c r="C146" s="23"/>
      <c r="D146" s="23">
        <f>Table23453456879111215141617181920212223242526272834567891011345678910111235[[#This Row],[Cash]]+Table23453456879111215141617181920212223242526272834567891011345678910111235[[#This Row],[Account Transfer]]</f>
        <v>0</v>
      </c>
      <c r="E146" s="22"/>
      <c r="F146" s="36"/>
    </row>
    <row r="147" spans="1:6" x14ac:dyDescent="0.35">
      <c r="A147" s="35"/>
      <c r="B147" s="23"/>
      <c r="C147" s="23"/>
      <c r="D147" s="23">
        <f>Table23453456879111215141617181920212223242526272834567891011345678910111235[[#This Row],[Cash]]+Table23453456879111215141617181920212223242526272834567891011345678910111235[[#This Row],[Account Transfer]]</f>
        <v>0</v>
      </c>
      <c r="E147" s="22"/>
      <c r="F147" s="36"/>
    </row>
    <row r="148" spans="1:6" x14ac:dyDescent="0.35">
      <c r="A148" s="35"/>
      <c r="B148" s="23"/>
      <c r="C148" s="23"/>
      <c r="D148" s="23">
        <f>Table23453456879111215141617181920212223242526272834567891011345678910111235[[#This Row],[Cash]]+Table23453456879111215141617181920212223242526272834567891011345678910111235[[#This Row],[Account Transfer]]</f>
        <v>0</v>
      </c>
      <c r="E148" s="22"/>
      <c r="F148" s="36"/>
    </row>
    <row r="149" spans="1:6" x14ac:dyDescent="0.35">
      <c r="A149" s="35"/>
      <c r="B149" s="23"/>
      <c r="C149" s="23"/>
      <c r="D149" s="23">
        <f>Table23453456879111215141617181920212223242526272834567891011345678910111235[[#This Row],[Cash]]+Table23453456879111215141617181920212223242526272834567891011345678910111235[[#This Row],[Account Transfer]]</f>
        <v>0</v>
      </c>
      <c r="E149" s="22"/>
      <c r="F149" s="36"/>
    </row>
    <row r="150" spans="1:6" x14ac:dyDescent="0.35">
      <c r="A150" s="35"/>
      <c r="B150" s="23"/>
      <c r="C150" s="23"/>
      <c r="D150" s="23">
        <f>Table23453456879111215141617181920212223242526272834567891011345678910111235[[#This Row],[Cash]]+Table23453456879111215141617181920212223242526272834567891011345678910111235[[#This Row],[Account Transfer]]</f>
        <v>0</v>
      </c>
      <c r="E150" s="22"/>
      <c r="F150" s="36"/>
    </row>
    <row r="151" spans="1:6" x14ac:dyDescent="0.35">
      <c r="A151" s="35"/>
      <c r="B151" s="23"/>
      <c r="C151" s="23"/>
      <c r="D151" s="23">
        <f>Table23453456879111215141617181920212223242526272834567891011345678910111235[[#This Row],[Cash]]+Table23453456879111215141617181920212223242526272834567891011345678910111235[[#This Row],[Account Transfer]]</f>
        <v>0</v>
      </c>
      <c r="E151" s="22"/>
      <c r="F151" s="36"/>
    </row>
    <row r="152" spans="1:6" x14ac:dyDescent="0.35">
      <c r="A152" s="35"/>
      <c r="B152" s="23"/>
      <c r="C152" s="23"/>
      <c r="D152" s="23">
        <f>Table23453456879111215141617181920212223242526272834567891011345678910111235[[#This Row],[Cash]]+Table23453456879111215141617181920212223242526272834567891011345678910111235[[#This Row],[Account Transfer]]</f>
        <v>0</v>
      </c>
      <c r="E152" s="22"/>
      <c r="F152" s="36"/>
    </row>
    <row r="153" spans="1:6" x14ac:dyDescent="0.35">
      <c r="A153" s="35"/>
      <c r="B153" s="23"/>
      <c r="C153" s="23"/>
      <c r="D153" s="23">
        <f>Table23453456879111215141617181920212223242526272834567891011345678910111235[[#This Row],[Cash]]+Table23453456879111215141617181920212223242526272834567891011345678910111235[[#This Row],[Account Transfer]]</f>
        <v>0</v>
      </c>
      <c r="E153" s="22"/>
      <c r="F153" s="36"/>
    </row>
    <row r="154" spans="1:6" x14ac:dyDescent="0.35">
      <c r="A154" s="35"/>
      <c r="B154" s="23"/>
      <c r="C154" s="23"/>
      <c r="D154" s="23">
        <f>Table23453456879111215141617181920212223242526272834567891011345678910111235[[#This Row],[Cash]]+Table23453456879111215141617181920212223242526272834567891011345678910111235[[#This Row],[Account Transfer]]</f>
        <v>0</v>
      </c>
      <c r="E154" s="22"/>
      <c r="F154" s="36"/>
    </row>
    <row r="155" spans="1:6" x14ac:dyDescent="0.35">
      <c r="A155" s="35"/>
      <c r="B155" s="23"/>
      <c r="C155" s="23"/>
      <c r="D155" s="23">
        <f>Table23453456879111215141617181920212223242526272834567891011345678910111235[[#This Row],[Cash]]+Table23453456879111215141617181920212223242526272834567891011345678910111235[[#This Row],[Account Transfer]]</f>
        <v>0</v>
      </c>
      <c r="E155" s="22"/>
      <c r="F155" s="36"/>
    </row>
    <row r="156" spans="1:6" x14ac:dyDescent="0.35">
      <c r="A156" s="35"/>
      <c r="B156" s="23"/>
      <c r="C156" s="23"/>
      <c r="D156" s="23">
        <f>Table23453456879111215141617181920212223242526272834567891011345678910111235[[#This Row],[Cash]]+Table23453456879111215141617181920212223242526272834567891011345678910111235[[#This Row],[Account Transfer]]</f>
        <v>0</v>
      </c>
      <c r="E156" s="22"/>
      <c r="F156" s="36"/>
    </row>
    <row r="157" spans="1:6" x14ac:dyDescent="0.35">
      <c r="A157" s="35"/>
      <c r="B157" s="23"/>
      <c r="C157" s="23"/>
      <c r="D157" s="23">
        <f>Table23453456879111215141617181920212223242526272834567891011345678910111235[[#This Row],[Cash]]+Table23453456879111215141617181920212223242526272834567891011345678910111235[[#This Row],[Account Transfer]]</f>
        <v>0</v>
      </c>
      <c r="E157" s="22"/>
      <c r="F157" s="36"/>
    </row>
    <row r="158" spans="1:6" x14ac:dyDescent="0.35">
      <c r="A158" s="35"/>
      <c r="B158" s="23"/>
      <c r="C158" s="23"/>
      <c r="D158" s="23">
        <f>Table23453456879111215141617181920212223242526272834567891011345678910111235[[#This Row],[Cash]]+Table23453456879111215141617181920212223242526272834567891011345678910111235[[#This Row],[Account Transfer]]</f>
        <v>0</v>
      </c>
      <c r="E158" s="22"/>
      <c r="F158" s="36"/>
    </row>
    <row r="159" spans="1:6" x14ac:dyDescent="0.35">
      <c r="A159" s="35"/>
      <c r="B159" s="23"/>
      <c r="C159" s="23"/>
      <c r="D159" s="23">
        <f>Table23453456879111215141617181920212223242526272834567891011345678910111235[[#This Row],[Cash]]+Table23453456879111215141617181920212223242526272834567891011345678910111235[[#This Row],[Account Transfer]]</f>
        <v>0</v>
      </c>
      <c r="E159" s="22"/>
      <c r="F159" s="36"/>
    </row>
    <row r="160" spans="1:6" x14ac:dyDescent="0.35">
      <c r="A160" s="35"/>
      <c r="B160" s="23"/>
      <c r="C160" s="23"/>
      <c r="D160" s="23">
        <f>Table23453456879111215141617181920212223242526272834567891011345678910111235[[#This Row],[Cash]]+Table23453456879111215141617181920212223242526272834567891011345678910111235[[#This Row],[Account Transfer]]</f>
        <v>0</v>
      </c>
      <c r="E160" s="22"/>
      <c r="F160" s="36"/>
    </row>
    <row r="161" spans="1:6" x14ac:dyDescent="0.35">
      <c r="A161" s="35"/>
      <c r="B161" s="23"/>
      <c r="C161" s="23"/>
      <c r="D161" s="23">
        <f>Table23453456879111215141617181920212223242526272834567891011345678910111235[[#This Row],[Cash]]+Table23453456879111215141617181920212223242526272834567891011345678910111235[[#This Row],[Account Transfer]]</f>
        <v>0</v>
      </c>
      <c r="E161" s="22"/>
      <c r="F161" s="36"/>
    </row>
    <row r="162" spans="1:6" x14ac:dyDescent="0.35">
      <c r="A162" s="35"/>
      <c r="B162" s="23"/>
      <c r="C162" s="23"/>
      <c r="D162" s="23">
        <f>Table23453456879111215141617181920212223242526272834567891011345678910111235[[#This Row],[Cash]]+Table23453456879111215141617181920212223242526272834567891011345678910111235[[#This Row],[Account Transfer]]</f>
        <v>0</v>
      </c>
      <c r="E162" s="22"/>
      <c r="F162" s="36"/>
    </row>
    <row r="163" spans="1:6" x14ac:dyDescent="0.35">
      <c r="A163" s="35"/>
      <c r="B163" s="23"/>
      <c r="C163" s="23"/>
      <c r="D163" s="23">
        <f>Table23453456879111215141617181920212223242526272834567891011345678910111235[[#This Row],[Cash]]+Table23453456879111215141617181920212223242526272834567891011345678910111235[[#This Row],[Account Transfer]]</f>
        <v>0</v>
      </c>
      <c r="E163" s="22"/>
      <c r="F163" s="36"/>
    </row>
    <row r="164" spans="1:6" x14ac:dyDescent="0.35">
      <c r="A164" s="35"/>
      <c r="B164" s="23"/>
      <c r="C164" s="23"/>
      <c r="D164" s="23">
        <f>Table23453456879111215141617181920212223242526272834567891011345678910111235[[#This Row],[Cash]]+Table23453456879111215141617181920212223242526272834567891011345678910111235[[#This Row],[Account Transfer]]</f>
        <v>0</v>
      </c>
      <c r="E164" s="22"/>
      <c r="F164" s="36"/>
    </row>
    <row r="165" spans="1:6" x14ac:dyDescent="0.35">
      <c r="A165" s="35"/>
      <c r="B165" s="23"/>
      <c r="C165" s="23"/>
      <c r="D165" s="23">
        <f>Table23453456879111215141617181920212223242526272834567891011345678910111235[[#This Row],[Cash]]+Table23453456879111215141617181920212223242526272834567891011345678910111235[[#This Row],[Account Transfer]]</f>
        <v>0</v>
      </c>
      <c r="E165" s="22"/>
      <c r="F165" s="36"/>
    </row>
    <row r="166" spans="1:6" x14ac:dyDescent="0.35">
      <c r="A166" s="35"/>
      <c r="B166" s="23"/>
      <c r="C166" s="23"/>
      <c r="D166" s="23">
        <f>Table23453456879111215141617181920212223242526272834567891011345678910111235[[#This Row],[Cash]]+Table23453456879111215141617181920212223242526272834567891011345678910111235[[#This Row],[Account Transfer]]</f>
        <v>0</v>
      </c>
      <c r="E166" s="22"/>
      <c r="F166" s="36"/>
    </row>
    <row r="167" spans="1:6" x14ac:dyDescent="0.35">
      <c r="A167" s="35"/>
      <c r="B167" s="23"/>
      <c r="C167" s="23"/>
      <c r="D167" s="23">
        <f>Table23453456879111215141617181920212223242526272834567891011345678910111235[[#This Row],[Cash]]+Table23453456879111215141617181920212223242526272834567891011345678910111235[[#This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Table23453456879111215141617181920212223242526272834567891011345678910111235[[#This Row],[Cash]]+Table23453456879111215141617181920212223242526272834567891011345678910111235[[#This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Table23453456879111215141617181920212223242526272834567891011345678910111235[[#This Row],[Cash]]+Table23453456879111215141617181920212223242526272834567891011345678910111235[[#This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Table23453456879111215141617181920212223242526272834567891011345678910111235[[#This Row],[Cash]]+Table23453456879111215141617181920212223242526272834567891011345678910111235[[#This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Table23453456879111215141617181920212223242526272834567891011345678910111235[[#This Row],[Cash]]+Table23453456879111215141617181920212223242526272834567891011345678910111235[[#This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Table23453456879111215141617181920212223242526272834567891011345678910111235[[#This Row],[Cash]]+Table23453456879111215141617181920212223242526272834567891011345678910111235[[#This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Table23453456879111215141617181920212223242526272834567891011345678910111235[[#This Row],[Cash]]+Table23453456879111215141617181920212223242526272834567891011345678910111235[[#This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Table23453456879111215141617181920212223242526272834567891011345678910111235[[#This Row],[Cash]]+Table23453456879111215141617181920212223242526272834567891011345678910111235[[#This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Table23453456879111215141617181920212223242526272834567891011345678910111235[[#This Row],[Cash]]+Table23453456879111215141617181920212223242526272834567891011345678910111235[[#This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Table23453456879111215141617181920212223242526272834567891011345678910111235[[#This Row],[Cash]]+Table23453456879111215141617181920212223242526272834567891011345678910111235[[#This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Table23453456879111215141617181920212223242526272834567891011345678910111235[[#This Row],[Cash]]+Table23453456879111215141617181920212223242526272834567891011345678910111235[[#This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Table23453456879111215141617181920212223242526272834567891011345678910111235[[#This Row],[Cash]]+Table23453456879111215141617181920212223242526272834567891011345678910111235[[#This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Table23453456879111215141617181920212223242526272834567891011345678910111235[[#This Row],[Cash]]+Table23453456879111215141617181920212223242526272834567891011345678910111235[[#This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Table23453456879111215141617181920212223242526272834567891011345678910111235[[#This Row],[Cash]]+Table23453456879111215141617181920212223242526272834567891011345678910111235[[#This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Table23453456879111215141617181920212223242526272834567891011345678910111235[[#This Row],[Cash]]+Table23453456879111215141617181920212223242526272834567891011345678910111235[[#This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Table23453456879111215141617181920212223242526272834567891011345678910111235[[#This Row],[Cash]]+Table23453456879111215141617181920212223242526272834567891011345678910111235[[#This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Table23453456879111215141617181920212223242526272834567891011345678910111235[[#This Row],[Cash]]+Table23453456879111215141617181920212223242526272834567891011345678910111235[[#This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Table23453456879111215141617181920212223242526272834567891011345678910111235[[#This Row],[Cash]]+Table23453456879111215141617181920212223242526272834567891011345678910111235[[#This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Table23453456879111215141617181920212223242526272834567891011345678910111235[[#This Row],[Cash]]+Table23453456879111215141617181920212223242526272834567891011345678910111235[[#This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Table23453456879111215141617181920212223242526272834567891011345678910111235[[#This Row],[Cash]]+Table23453456879111215141617181920212223242526272834567891011345678910111235[[#This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Table23453456879111215141617181920212223242526272834567891011345678910111235[[#This Row],[Cash]]+Table23453456879111215141617181920212223242526272834567891011345678910111235[[#This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Table23453456879111215141617181920212223242526272834567891011345678910111235[[#This Row],[Cash]]+Table23453456879111215141617181920212223242526272834567891011345678910111235[[#This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Table23453456879111215141617181920212223242526272834567891011345678910111235[[#This Row],[Cash]]+Table23453456879111215141617181920212223242526272834567891011345678910111235[[#This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Table23453456879111215141617181920212223242526272834567891011345678910111235[[#This Row],[Cash]]+Table23453456879111215141617181920212223242526272834567891011345678910111235[[#This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Table23453456879111215141617181920212223242526272834567891011345678910111235[[#This Row],[Cash]]+Table23453456879111215141617181920212223242526272834567891011345678910111235[[#This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Table23453456879111215141617181920212223242526272834567891011345678910111235[[#This Row],[Cash]]+Table23453456879111215141617181920212223242526272834567891011345678910111235[[#This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Table23453456879111215141617181920212223242526272834567891011345678910111235[[#This Row],[Cash]]+Table23453456879111215141617181920212223242526272834567891011345678910111235[[#This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Table23453456879111215141617181920212223242526272834567891011345678910111235[[#This Row],[Cash]]+Table23453456879111215141617181920212223242526272834567891011345678910111235[[#This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Table23453456879111215141617181920212223242526272834567891011345678910111235[[#This Row],[Cash]]+Table23453456879111215141617181920212223242526272834567891011345678910111235[[#This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Table23453456879111215141617181920212223242526272834567891011345678910111235[[#This Row],[Cash]]+Table23453456879111215141617181920212223242526272834567891011345678910111235[[#This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Table23453456879111215141617181920212223242526272834567891011345678910111235[[#This Row],[Cash]]+Table23453456879111215141617181920212223242526272834567891011345678910111235[[#This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Table23453456879111215141617181920212223242526272834567891011345678910111235[[#This Row],[Cash]]+Table23453456879111215141617181920212223242526272834567891011345678910111235[[#This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Table23453456879111215141617181920212223242526272834567891011345678910111235[[#This Row],[Cash]]+Table23453456879111215141617181920212223242526272834567891011345678910111235[[#This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Table23453456879111215141617181920212223242526272834567891011345678910111235[[#This Row],[Cash]]+Table23453456879111215141617181920212223242526272834567891011345678910111235[[#This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Table23453456879111215141617181920212223242526272834567891011345678910111235[[#This Row],[Cash]]+Table23453456879111215141617181920212223242526272834567891011345678910111235[[#This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Table23453456879111215141617181920212223242526272834567891011345678910111235[[#This Row],[Cash]]+Table23453456879111215141617181920212223242526272834567891011345678910111235[[#This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Table23453456879111215141617181920212223242526272834567891011345678910111235[[#This Row],[Cash]]+Table23453456879111215141617181920212223242526272834567891011345678910111235[[#This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Table23453456879111215141617181920212223242526272834567891011345678910111235[[#This Row],[Cash]]+Table23453456879111215141617181920212223242526272834567891011345678910111235[[#This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Table23453456879111215141617181920212223242526272834567891011345678910111235[[#This Row],[Cash]]+Table23453456879111215141617181920212223242526272834567891011345678910111235[[#This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Table23453456879111215141617181920212223242526272834567891011345678910111235[[#This Row],[Cash]]+Table23453456879111215141617181920212223242526272834567891011345678910111235[[#This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Table23453456879111215141617181920212223242526272834567891011345678910111235[[#This Row],[Cash]]+Table23453456879111215141617181920212223242526272834567891011345678910111235[[#This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Table23453456879111215141617181920212223242526272834567891011345678910111235[[#This Row],[Cash]]+Table23453456879111215141617181920212223242526272834567891011345678910111235[[#This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Table23453456879111215141617181920212223242526272834567891011345678910111235[[#This Row],[Cash]]+Table23453456879111215141617181920212223242526272834567891011345678910111235[[#This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Table23453456879111215141617181920212223242526272834567891011345678910111235[[#This Row],[Cash]]+Table23453456879111215141617181920212223242526272834567891011345678910111235[[#This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Table23453456879111215141617181920212223242526272834567891011345678910111235[[#This Row],[Cash]]+Table23453456879111215141617181920212223242526272834567891011345678910111235[[#This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Table23453456879111215141617181920212223242526272834567891011345678910111235[[#This Row],[Cash]]+Table23453456879111215141617181920212223242526272834567891011345678910111235[[#This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Table23453456879111215141617181920212223242526272834567891011345678910111235[[#This Row],[Cash]]+Table23453456879111215141617181920212223242526272834567891011345678910111235[[#This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Table23453456879111215141617181920212223242526272834567891011345678910111235[[#This Row],[Cash]]+Table23453456879111215141617181920212223242526272834567891011345678910111235[[#This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Table23453456879111215141617181920212223242526272834567891011345678910111235[[#This Row],[Cash]]+Table23453456879111215141617181920212223242526272834567891011345678910111235[[#This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Table23453456879111215141617181920212223242526272834567891011345678910111235[[#This Row],[Cash]]+Table23453456879111215141617181920212223242526272834567891011345678910111235[[#This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Table23453456879111215141617181920212223242526272834567891011345678910111235[[#This Row],[Cash]]+Table23453456879111215141617181920212223242526272834567891011345678910111235[[#This Row],[Account Transfer]]</f>
        <v>0</v>
      </c>
      <c r="E217" s="22"/>
      <c r="F217" s="36"/>
    </row>
    <row r="218" spans="1:6" x14ac:dyDescent="0.35">
      <c r="A218" s="37"/>
      <c r="B218" s="38"/>
      <c r="C218" s="38"/>
      <c r="D218" s="38">
        <f>Table23453456879111215141617181920212223242526272834567891011345678910111235[[#This Row],[Cash]]+Table23453456879111215141617181920212223242526272834567891011345678910111235[[#This Row],[Account Transfer]]</f>
        <v>0</v>
      </c>
      <c r="E218" s="39"/>
      <c r="F218" s="40"/>
    </row>
    <row r="219" spans="1:6" ht="15" thickBot="1" x14ac:dyDescent="0.4">
      <c r="A219" s="15" t="s">
        <v>3</v>
      </c>
      <c r="C219" s="25"/>
      <c r="D219" s="25"/>
      <c r="E219" s="16"/>
      <c r="F219" s="3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3923-1622-458B-9330-79443EC5E089}">
  <dimension ref="A1:V48"/>
  <sheetViews>
    <sheetView zoomScale="90" zoomScaleNormal="90" workbookViewId="0">
      <pane ySplit="1" topLeftCell="A16" activePane="bottomLeft" state="frozen"/>
      <selection activeCell="G24" sqref="G24"/>
      <selection pane="bottomLeft" activeCell="C34" sqref="C34"/>
    </sheetView>
  </sheetViews>
  <sheetFormatPr defaultColWidth="26" defaultRowHeight="14.5" x14ac:dyDescent="0.35"/>
  <cols>
    <col min="1" max="1" width="24.269531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13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Table234534568791112151416171819202122232425262728345678910113456789101112410[[#This Row],[Profit]]-Table234534568791112151416171819202122232425262728345678910113456789101112410[[#This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Table234534568791112151416171819202122232425262728345678910113456789101112410[[#This Row],[Account Transfer]]-Table234534568791112151416171819202122232425262728345678910113456789101112410[[#This Row],[Expense Online]]</f>
        <v>0</v>
      </c>
      <c r="L2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0</v>
      </c>
      <c r="M2" s="7">
        <f>Table234534568791112151416171819202122232425262728345678910113456789101112410[[#This Row],[Cash]]-Table234534568791112151416171819202122232425262728345678910113456789101112410[[#This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45778</v>
      </c>
      <c r="B3" s="7">
        <f>Table234534568791112151416171819202122232425262728345678910113456789101112410[[#This Row],[Profit]]-Table234534568791112151416171819202122232425262728345678910113456789101112410[[#This Row],[Mulbhag]]</f>
        <v>3780.2</v>
      </c>
      <c r="C3" s="43">
        <f>Table234534568791112151416171819202122232425262728345678910113456789101112410[[#This Row],[Profit]]/3</f>
        <v>1890.1000000000001</v>
      </c>
      <c r="D3" s="7">
        <f t="shared" si="0"/>
        <v>5670.3</v>
      </c>
      <c r="E3" s="7">
        <f t="shared" si="1"/>
        <v>13230.7</v>
      </c>
      <c r="F3" s="7">
        <f t="shared" si="2"/>
        <v>18901</v>
      </c>
      <c r="G3" s="7">
        <v>6730</v>
      </c>
      <c r="H3" s="7">
        <v>12171</v>
      </c>
      <c r="I3" s="7">
        <f>IFERROR(VLOOKUP(Table234534568791112151416171819202122232425262728345678910113456789101112410[[#This Row],[Date]],'May Expense'!H1:K250,3,0),0)</f>
        <v>490</v>
      </c>
      <c r="J3" s="7">
        <f>IFERROR(VLOOKUP(Table234534568791112151416171819202122232425262728345678910113456789101112410[[#This Row],[Date]],'May Expense'!H1:K250,4,0),0)</f>
        <v>13230</v>
      </c>
      <c r="K3" s="7">
        <f>Table234534568791112151416171819202122232425262728345678910113456789101112410[[#This Row],[Account Transfer]]-Table234534568791112151416171819202122232425262728345678910113456789101112410[[#This Row],[Expense Online]]</f>
        <v>-1059</v>
      </c>
      <c r="L3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569.69999999999982</v>
      </c>
      <c r="M3" s="7">
        <f>Table234534568791112151416171819202122232425262728345678910113456789101112410[[#This Row],[Cash]]-Table234534568791112151416171819202122232425262728345678910113456789101112410[[#This Row],[Expense]]</f>
        <v>6240</v>
      </c>
      <c r="N3" s="45"/>
      <c r="O3" s="10">
        <f t="shared" ref="O3:O9" si="3">A3</f>
        <v>45778</v>
      </c>
      <c r="P3" s="11">
        <f>Q3/3</f>
        <v>1890.1000000000001</v>
      </c>
      <c r="Q3" s="11">
        <f>S3*0.3</f>
        <v>5670.3</v>
      </c>
      <c r="R3" s="11">
        <f t="shared" ref="R3:R9" si="4">S3-Q3</f>
        <v>13230.7</v>
      </c>
      <c r="S3" s="11">
        <f>T3+U3</f>
        <v>18901</v>
      </c>
      <c r="T3" s="11">
        <f t="shared" ref="T3:T9" si="5">VLOOKUP(O3,$A$1:$J$34,7,0)</f>
        <v>6730</v>
      </c>
      <c r="U3" s="11">
        <f t="shared" ref="U3:U9" si="6">VLOOKUP(O3,$A$1:$J$34,8,0)</f>
        <v>12171</v>
      </c>
      <c r="V3" s="11">
        <f t="shared" ref="V3:V9" si="7">VLOOKUP(O3,$A$1:$J$34,9,0)</f>
        <v>490</v>
      </c>
    </row>
    <row r="4" spans="1:22" x14ac:dyDescent="0.35">
      <c r="A4" s="6">
        <v>45779</v>
      </c>
      <c r="B4" s="7">
        <f>Table234534568791112151416171819202122232425262728345678910113456789101112410[[#This Row],[Profit]]-Table234534568791112151416171819202122232425262728345678910113456789101112410[[#This Row],[Mulbhag]]</f>
        <v>2500</v>
      </c>
      <c r="C4" s="43">
        <f>Table234534568791112151416171819202122232425262728345678910113456789101112410[[#This Row],[Profit]]/3</f>
        <v>1250</v>
      </c>
      <c r="D4" s="7">
        <f t="shared" si="0"/>
        <v>3750</v>
      </c>
      <c r="E4" s="7">
        <f t="shared" si="1"/>
        <v>8750</v>
      </c>
      <c r="F4" s="7">
        <f t="shared" si="2"/>
        <v>12500</v>
      </c>
      <c r="G4" s="7">
        <v>9810</v>
      </c>
      <c r="H4" s="7">
        <v>2690</v>
      </c>
      <c r="I4" s="7">
        <f>IFERROR(VLOOKUP(Table234534568791112151416171819202122232425262728345678910113456789101112410[[#This Row],[Date]],'May Expense'!H2:K251,3,0),0)</f>
        <v>230</v>
      </c>
      <c r="J4" s="7">
        <f>IFERROR(VLOOKUP(Table234534568791112151416171819202122232425262728345678910113456789101112410[[#This Row],[Date]],'May Expense'!H2:K251,4,0),0)</f>
        <v>1650</v>
      </c>
      <c r="K4" s="7">
        <f>Table234534568791112151416171819202122232425262728345678910113456789101112410[[#This Row],[Account Transfer]]-Table234534568791112151416171819202122232425262728345678910113456789101112410[[#This Row],[Expense Online]]</f>
        <v>1040</v>
      </c>
      <c r="L4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5830</v>
      </c>
      <c r="M4" s="7">
        <f>Table234534568791112151416171819202122232425262728345678910113456789101112410[[#This Row],[Cash]]-Table234534568791112151416171819202122232425262728345678910113456789101112410[[#This Row],[Expense]]</f>
        <v>9580</v>
      </c>
      <c r="N4" s="45"/>
      <c r="O4" s="8">
        <f t="shared" si="3"/>
        <v>45779</v>
      </c>
      <c r="P4" s="9">
        <f>Q4/3</f>
        <v>1250</v>
      </c>
      <c r="Q4" s="9">
        <f>S4*0.3</f>
        <v>3750</v>
      </c>
      <c r="R4" s="9">
        <f t="shared" si="4"/>
        <v>8750</v>
      </c>
      <c r="S4" s="9">
        <f t="shared" ref="S4:S9" si="8">T4+U4</f>
        <v>12500</v>
      </c>
      <c r="T4" s="9">
        <f t="shared" si="5"/>
        <v>9810</v>
      </c>
      <c r="U4" s="9">
        <f t="shared" si="6"/>
        <v>2690</v>
      </c>
      <c r="V4" s="9">
        <f t="shared" si="7"/>
        <v>230</v>
      </c>
    </row>
    <row r="5" spans="1:22" x14ac:dyDescent="0.35">
      <c r="A5" s="6">
        <v>45780</v>
      </c>
      <c r="B5" s="7">
        <f>Table234534568791112151416171819202122232425262728345678910113456789101112410[[#This Row],[Profit]]-Table234534568791112151416171819202122232425262728345678910113456789101112410[[#This Row],[Mulbhag]]</f>
        <v>3006</v>
      </c>
      <c r="C5" s="28">
        <f>Table234534568791112151416171819202122232425262728345678910113456789101112410[[#This Row],[Profit]]/3</f>
        <v>1503</v>
      </c>
      <c r="D5" s="7">
        <f t="shared" si="0"/>
        <v>4509</v>
      </c>
      <c r="E5" s="7">
        <f t="shared" si="1"/>
        <v>10521</v>
      </c>
      <c r="F5" s="7">
        <f t="shared" si="2"/>
        <v>15030</v>
      </c>
      <c r="G5" s="7">
        <v>10280</v>
      </c>
      <c r="H5" s="7">
        <v>4750</v>
      </c>
      <c r="I5" s="7">
        <f>IFERROR(VLOOKUP(Table234534568791112151416171819202122232425262728345678910113456789101112410[[#This Row],[Date]],'May Expense'!H3:K252,3,0),0)</f>
        <v>5000</v>
      </c>
      <c r="J5" s="7">
        <f>IFERROR(VLOOKUP(Table234534568791112151416171819202122232425262728345678910113456789101112410[[#This Row],[Date]],'May Expense'!H3:K252,4,0),0)</f>
        <v>0</v>
      </c>
      <c r="K5" s="7">
        <f>Table234534568791112151416171819202122232425262728345678910113456789101112410[[#This Row],[Account Transfer]]-Table234534568791112151416171819202122232425262728345678910113456789101112410[[#This Row],[Expense Online]]</f>
        <v>4750</v>
      </c>
      <c r="L5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771</v>
      </c>
      <c r="M5" s="7">
        <f>Table234534568791112151416171819202122232425262728345678910113456789101112410[[#This Row],[Cash]]-Table234534568791112151416171819202122232425262728345678910113456789101112410[[#This Row],[Expense]]</f>
        <v>5280</v>
      </c>
      <c r="N5" s="45"/>
      <c r="O5" s="10">
        <f t="shared" si="3"/>
        <v>45780</v>
      </c>
      <c r="P5" s="11">
        <f t="shared" ref="P5:P9" si="9">Q5/3</f>
        <v>1503</v>
      </c>
      <c r="Q5" s="11">
        <f t="shared" ref="Q5:Q9" si="10">S5*0.3</f>
        <v>4509</v>
      </c>
      <c r="R5" s="11">
        <f t="shared" si="4"/>
        <v>10521</v>
      </c>
      <c r="S5" s="11">
        <f t="shared" si="8"/>
        <v>15030</v>
      </c>
      <c r="T5" s="11">
        <f t="shared" si="5"/>
        <v>10280</v>
      </c>
      <c r="U5" s="11">
        <f t="shared" si="6"/>
        <v>4750</v>
      </c>
      <c r="V5" s="11">
        <f t="shared" si="7"/>
        <v>5000</v>
      </c>
    </row>
    <row r="6" spans="1:22" x14ac:dyDescent="0.35">
      <c r="A6" s="6">
        <v>45781</v>
      </c>
      <c r="B6" s="7">
        <f>Table234534568791112151416171819202122232425262728345678910113456789101112410[[#This Row],[Profit]]-Table234534568791112151416171819202122232425262728345678910113456789101112410[[#This Row],[Mulbhag]]</f>
        <v>3991</v>
      </c>
      <c r="C6" s="28">
        <f>Table234534568791112151416171819202122232425262728345678910113456789101112410[[#This Row],[Profit]]/3</f>
        <v>1995.5</v>
      </c>
      <c r="D6" s="7">
        <f t="shared" si="0"/>
        <v>5986.5</v>
      </c>
      <c r="E6" s="7">
        <f t="shared" si="1"/>
        <v>13968.5</v>
      </c>
      <c r="F6" s="7">
        <f t="shared" si="2"/>
        <v>19955</v>
      </c>
      <c r="G6" s="7">
        <v>10170</v>
      </c>
      <c r="H6" s="7">
        <v>9785</v>
      </c>
      <c r="I6" s="7">
        <f>IFERROR(VLOOKUP(Table234534568791112151416171819202122232425262728345678910113456789101112410[[#This Row],[Date]],'May Expense'!H4:K253,3,0),0)</f>
        <v>6570</v>
      </c>
      <c r="J6" s="7">
        <f>IFERROR(VLOOKUP(Table234534568791112151416171819202122232425262728345678910113456789101112410[[#This Row],[Date]],'May Expense'!H4:K253,4,0),0)</f>
        <v>200</v>
      </c>
      <c r="K6" s="7">
        <f>Table234534568791112151416171819202122232425262728345678910113456789101112410[[#This Row],[Account Transfer]]-Table234534568791112151416171819202122232425262728345678910113456789101112410[[#This Row],[Expense Online]]</f>
        <v>9585</v>
      </c>
      <c r="L6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-2386.5</v>
      </c>
      <c r="M6" s="7">
        <f>Table234534568791112151416171819202122232425262728345678910113456789101112410[[#This Row],[Cash]]-Table234534568791112151416171819202122232425262728345678910113456789101112410[[#This Row],[Expense]]</f>
        <v>3600</v>
      </c>
      <c r="N6" s="45">
        <v>450</v>
      </c>
      <c r="O6" s="8">
        <f t="shared" si="3"/>
        <v>45781</v>
      </c>
      <c r="P6" s="9">
        <f t="shared" si="9"/>
        <v>1995.5</v>
      </c>
      <c r="Q6" s="9">
        <f t="shared" si="10"/>
        <v>5986.5</v>
      </c>
      <c r="R6" s="9">
        <f t="shared" si="4"/>
        <v>13968.5</v>
      </c>
      <c r="S6" s="9">
        <f t="shared" si="8"/>
        <v>19955</v>
      </c>
      <c r="T6" s="9">
        <f t="shared" si="5"/>
        <v>10170</v>
      </c>
      <c r="U6" s="9">
        <f t="shared" si="6"/>
        <v>9785</v>
      </c>
      <c r="V6" s="9">
        <f t="shared" si="7"/>
        <v>6570</v>
      </c>
    </row>
    <row r="7" spans="1:22" x14ac:dyDescent="0.35">
      <c r="A7" s="6">
        <v>45782</v>
      </c>
      <c r="B7" s="7">
        <f>Table234534568791112151416171819202122232425262728345678910113456789101112410[[#This Row],[Profit]]-Table234534568791112151416171819202122232425262728345678910113456789101112410[[#This Row],[Mulbhag]]</f>
        <v>4280</v>
      </c>
      <c r="C7" s="28">
        <f>Table234534568791112151416171819202122232425262728345678910113456789101112410[[#This Row],[Profit]]/3</f>
        <v>2140</v>
      </c>
      <c r="D7" s="7">
        <f t="shared" si="0"/>
        <v>6420</v>
      </c>
      <c r="E7" s="7">
        <f t="shared" si="1"/>
        <v>14980</v>
      </c>
      <c r="F7" s="7">
        <f t="shared" si="2"/>
        <v>21400</v>
      </c>
      <c r="G7" s="7">
        <f>12620+2550</f>
        <v>15170</v>
      </c>
      <c r="H7" s="7">
        <f>2430+3800</f>
        <v>6230</v>
      </c>
      <c r="I7" s="7">
        <f>IFERROR(VLOOKUP(Table234534568791112151416171819202122232425262728345678910113456789101112410[[#This Row],[Date]],'May Expense'!H5:K254,3,0),0)</f>
        <v>2460</v>
      </c>
      <c r="J7" s="7">
        <f>IFERROR(VLOOKUP(Table234534568791112151416171819202122232425262728345678910113456789101112410[[#This Row],[Date]],'May Expense'!H5:K254,4,0),0)</f>
        <v>0</v>
      </c>
      <c r="K7" s="7">
        <f>Table234534568791112151416171819202122232425262728345678910113456789101112410[[#This Row],[Account Transfer]]-Table234534568791112151416171819202122232425262728345678910113456789101112410[[#This Row],[Expense Online]]</f>
        <v>6230</v>
      </c>
      <c r="L7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6290</v>
      </c>
      <c r="M7" s="7">
        <f>Table234534568791112151416171819202122232425262728345678910113456789101112410[[#This Row],[Cash]]-Table234534568791112151416171819202122232425262728345678910113456789101112410[[#This Row],[Expense]]</f>
        <v>12710</v>
      </c>
      <c r="N7" s="45">
        <v>600</v>
      </c>
      <c r="O7" s="10">
        <f t="shared" si="3"/>
        <v>45782</v>
      </c>
      <c r="P7" s="11">
        <f t="shared" si="9"/>
        <v>2140</v>
      </c>
      <c r="Q7" s="11">
        <f t="shared" si="10"/>
        <v>6420</v>
      </c>
      <c r="R7" s="11">
        <f t="shared" si="4"/>
        <v>14980</v>
      </c>
      <c r="S7" s="11">
        <f t="shared" si="8"/>
        <v>21400</v>
      </c>
      <c r="T7" s="11">
        <f t="shared" si="5"/>
        <v>15170</v>
      </c>
      <c r="U7" s="11">
        <f t="shared" si="6"/>
        <v>6230</v>
      </c>
      <c r="V7" s="11">
        <f t="shared" si="7"/>
        <v>2460</v>
      </c>
    </row>
    <row r="8" spans="1:22" x14ac:dyDescent="0.35">
      <c r="A8" s="6">
        <v>45783</v>
      </c>
      <c r="B8" s="7">
        <f>Table234534568791112151416171819202122232425262728345678910113456789101112410[[#This Row],[Profit]]-Table234534568791112151416171819202122232425262728345678910113456789101112410[[#This Row],[Mulbhag]]</f>
        <v>4080</v>
      </c>
      <c r="C8" s="28">
        <f>Table234534568791112151416171819202122232425262728345678910113456789101112410[[#This Row],[Profit]]/3</f>
        <v>2040</v>
      </c>
      <c r="D8" s="7">
        <f t="shared" si="0"/>
        <v>6120</v>
      </c>
      <c r="E8" s="7">
        <f t="shared" si="1"/>
        <v>14280</v>
      </c>
      <c r="F8" s="7">
        <f t="shared" si="2"/>
        <v>20400</v>
      </c>
      <c r="G8" s="7">
        <v>400</v>
      </c>
      <c r="H8" s="7">
        <v>20000</v>
      </c>
      <c r="I8" s="7">
        <f>IFERROR(VLOOKUP(Table234534568791112151416171819202122232425262728345678910113456789101112410[[#This Row],[Date]],'May Expense'!H6:K255,3,0),0)</f>
        <v>420</v>
      </c>
      <c r="J8" s="7">
        <f>IFERROR(VLOOKUP(Table234534568791112151416171819202122232425262728345678910113456789101112410[[#This Row],[Date]],'May Expense'!H6:K255,4,0),0)</f>
        <v>0</v>
      </c>
      <c r="K8" s="7">
        <f>Table234534568791112151416171819202122232425262728345678910113456789101112410[[#This Row],[Account Transfer]]-Table234534568791112151416171819202122232425262728345678910113456789101112410[[#This Row],[Expense Online]]</f>
        <v>20000</v>
      </c>
      <c r="L8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-6140</v>
      </c>
      <c r="M8" s="7">
        <f>Table234534568791112151416171819202122232425262728345678910113456789101112410[[#This Row],[Cash]]-Table234534568791112151416171819202122232425262728345678910113456789101112410[[#This Row],[Expense]]</f>
        <v>-20</v>
      </c>
      <c r="N8" s="45"/>
      <c r="O8" s="8">
        <f t="shared" si="3"/>
        <v>45783</v>
      </c>
      <c r="P8" s="9">
        <f t="shared" si="9"/>
        <v>2040</v>
      </c>
      <c r="Q8" s="9">
        <f t="shared" si="10"/>
        <v>6120</v>
      </c>
      <c r="R8" s="9">
        <f t="shared" si="4"/>
        <v>14280</v>
      </c>
      <c r="S8" s="9">
        <f t="shared" si="8"/>
        <v>20400</v>
      </c>
      <c r="T8" s="9">
        <f t="shared" si="5"/>
        <v>400</v>
      </c>
      <c r="U8" s="9">
        <f t="shared" si="6"/>
        <v>20000</v>
      </c>
      <c r="V8" s="9">
        <f t="shared" si="7"/>
        <v>420</v>
      </c>
    </row>
    <row r="9" spans="1:22" x14ac:dyDescent="0.35">
      <c r="A9" s="6">
        <v>45784</v>
      </c>
      <c r="B9" s="7">
        <f>Table234534568791112151416171819202122232425262728345678910113456789101112410[[#This Row],[Profit]]-Table234534568791112151416171819202122232425262728345678910113456789101112410[[#This Row],[Mulbhag]]</f>
        <v>2014</v>
      </c>
      <c r="C9" s="28">
        <f>Table234534568791112151416171819202122232425262728345678910113456789101112410[[#This Row],[Profit]]/3</f>
        <v>1007</v>
      </c>
      <c r="D9" s="7">
        <f t="shared" si="0"/>
        <v>3021</v>
      </c>
      <c r="E9" s="7">
        <f t="shared" si="1"/>
        <v>7049</v>
      </c>
      <c r="F9" s="7">
        <f t="shared" si="2"/>
        <v>10070</v>
      </c>
      <c r="G9" s="7">
        <v>3450</v>
      </c>
      <c r="H9" s="7">
        <v>6620</v>
      </c>
      <c r="I9" s="7">
        <f>IFERROR(VLOOKUP(Table234534568791112151416171819202122232425262728345678910113456789101112410[[#This Row],[Date]],'May Expense'!H7:K256,3,0),0)</f>
        <v>2770</v>
      </c>
      <c r="J9" s="7">
        <f>IFERROR(VLOOKUP(Table234534568791112151416171819202122232425262728345678910113456789101112410[[#This Row],[Date]],'May Expense'!H7:K256,4,0),0)</f>
        <v>0</v>
      </c>
      <c r="K9" s="7">
        <f>Table234534568791112151416171819202122232425262728345678910113456789101112410[[#This Row],[Account Transfer]]-Table234534568791112151416171819202122232425262728345678910113456789101112410[[#This Row],[Expense Online]]</f>
        <v>6620</v>
      </c>
      <c r="L9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-2341</v>
      </c>
      <c r="M9" s="7">
        <f>Table234534568791112151416171819202122232425262728345678910113456789101112410[[#This Row],[Cash]]-Table234534568791112151416171819202122232425262728345678910113456789101112410[[#This Row],[Expense]]</f>
        <v>680</v>
      </c>
      <c r="N9" s="45"/>
      <c r="O9" s="10">
        <f t="shared" si="3"/>
        <v>45784</v>
      </c>
      <c r="P9" s="11">
        <f t="shared" si="9"/>
        <v>1007</v>
      </c>
      <c r="Q9" s="11">
        <f t="shared" si="10"/>
        <v>3021</v>
      </c>
      <c r="R9" s="11">
        <f t="shared" si="4"/>
        <v>7049</v>
      </c>
      <c r="S9" s="11">
        <f t="shared" si="8"/>
        <v>10070</v>
      </c>
      <c r="T9" s="11">
        <f t="shared" si="5"/>
        <v>3450</v>
      </c>
      <c r="U9" s="11">
        <f t="shared" si="6"/>
        <v>6620</v>
      </c>
      <c r="V9" s="11">
        <f t="shared" si="7"/>
        <v>2770</v>
      </c>
    </row>
    <row r="10" spans="1:22" x14ac:dyDescent="0.35">
      <c r="A10" s="6">
        <v>45785</v>
      </c>
      <c r="B10" s="7">
        <f>Table234534568791112151416171819202122232425262728345678910113456789101112410[[#This Row],[Profit]]-Table234534568791112151416171819202122232425262728345678910113456789101112410[[#This Row],[Mulbhag]]</f>
        <v>2468</v>
      </c>
      <c r="C10" s="28">
        <f>Table234534568791112151416171819202122232425262728345678910113456789101112410[[#This Row],[Profit]]/3</f>
        <v>1234</v>
      </c>
      <c r="D10" s="7">
        <f t="shared" si="0"/>
        <v>3702</v>
      </c>
      <c r="E10" s="7">
        <f t="shared" si="1"/>
        <v>8638</v>
      </c>
      <c r="F10" s="7">
        <f t="shared" si="2"/>
        <v>12340</v>
      </c>
      <c r="G10" s="7">
        <v>3670</v>
      </c>
      <c r="H10" s="7">
        <v>8670</v>
      </c>
      <c r="I10" s="7">
        <f>IFERROR(VLOOKUP(Table234534568791112151416171819202122232425262728345678910113456789101112410[[#This Row],[Date]],'May Expense'!H8:K257,3,0),0)</f>
        <v>1170</v>
      </c>
      <c r="J10" s="7">
        <f>IFERROR(VLOOKUP(Table234534568791112151416171819202122232425262728345678910113456789101112410[[#This Row],[Date]],'May Expense'!H8:K257,4,0),0)</f>
        <v>0</v>
      </c>
      <c r="K10" s="7">
        <f>Table234534568791112151416171819202122232425262728345678910113456789101112410[[#This Row],[Account Transfer]]-Table234534568791112151416171819202122232425262728345678910113456789101112410[[#This Row],[Expense Online]]</f>
        <v>8670</v>
      </c>
      <c r="L10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-1202</v>
      </c>
      <c r="M10" s="7">
        <f>Table234534568791112151416171819202122232425262728345678910113456789101112410[[#This Row],[Cash]]-Table234534568791112151416171819202122232425262728345678910113456789101112410[[#This Row],[Expense]]</f>
        <v>2500</v>
      </c>
      <c r="N10" s="45"/>
      <c r="O10" s="12" t="s">
        <v>3</v>
      </c>
      <c r="P10" s="12">
        <f>SUM(P3:P9)</f>
        <v>11825.6</v>
      </c>
      <c r="Q10" s="12">
        <f>SUM(Q3:Q9)</f>
        <v>35476.800000000003</v>
      </c>
      <c r="R10" s="12">
        <f>SUM(R2:R9)</f>
        <v>82779.199999999997</v>
      </c>
      <c r="S10" s="12">
        <f>SUM(S2:S9)</f>
        <v>118256</v>
      </c>
      <c r="T10" s="12">
        <f>SUM(T2:T9)</f>
        <v>56010</v>
      </c>
      <c r="U10" s="12">
        <f>SUM(U2:U9)</f>
        <v>62246</v>
      </c>
      <c r="V10" s="12">
        <f>SUM(V2:V9)</f>
        <v>17940</v>
      </c>
    </row>
    <row r="11" spans="1:22" x14ac:dyDescent="0.35">
      <c r="A11" s="6">
        <v>45786</v>
      </c>
      <c r="B11" s="7">
        <f>Table234534568791112151416171819202122232425262728345678910113456789101112410[[#This Row],[Profit]]-Table234534568791112151416171819202122232425262728345678910113456789101112410[[#This Row],[Mulbhag]]</f>
        <v>3642.3999999999996</v>
      </c>
      <c r="C11" s="28">
        <f>Table234534568791112151416171819202122232425262728345678910113456789101112410[[#This Row],[Profit]]/3</f>
        <v>1821.1999999999998</v>
      </c>
      <c r="D11" s="7">
        <f t="shared" si="0"/>
        <v>5463.5999999999995</v>
      </c>
      <c r="E11" s="7">
        <f t="shared" si="1"/>
        <v>12748.400000000001</v>
      </c>
      <c r="F11" s="7">
        <f t="shared" si="2"/>
        <v>18212</v>
      </c>
      <c r="G11" s="7">
        <v>9212</v>
      </c>
      <c r="H11" s="7">
        <v>9000</v>
      </c>
      <c r="I11" s="7">
        <f>IFERROR(VLOOKUP(Table234534568791112151416171819202122232425262728345678910113456789101112410[[#This Row],[Date]],'May Expense'!H9:K258,3,0),0)</f>
        <v>8120</v>
      </c>
      <c r="J11" s="7">
        <f>IFERROR(VLOOKUP(Table234534568791112151416171819202122232425262728345678910113456789101112410[[#This Row],[Date]],'May Expense'!H9:K258,4,0),0)</f>
        <v>40243</v>
      </c>
      <c r="K11" s="7">
        <f>Table234534568791112151416171819202122232425262728345678910113456789101112410[[#This Row],[Account Transfer]]-Table234534568791112151416171819202122232425262728345678910113456789101112410[[#This Row],[Expense Online]]</f>
        <v>-31243</v>
      </c>
      <c r="L11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-4371.5999999999995</v>
      </c>
      <c r="M11" s="7">
        <f>Table234534568791112151416171819202122232425262728345678910113456789101112410[[#This Row],[Cash]]-Table234534568791112151416171819202122232425262728345678910113456789101112410[[#This Row],[Expense]]</f>
        <v>1092</v>
      </c>
      <c r="N11" s="45"/>
      <c r="O11" s="12" t="s">
        <v>7</v>
      </c>
      <c r="P11" s="12"/>
      <c r="Q11" s="12">
        <f>Q10/3</f>
        <v>11825.6</v>
      </c>
      <c r="R11" s="12"/>
      <c r="S11" s="12"/>
      <c r="T11" s="11"/>
      <c r="U11" s="11"/>
      <c r="V11" s="11"/>
    </row>
    <row r="12" spans="1:22" x14ac:dyDescent="0.35">
      <c r="A12" s="6">
        <v>45787</v>
      </c>
      <c r="B12" s="7">
        <f>Table234534568791112151416171819202122232425262728345678910113456789101112410[[#This Row],[Profit]]-Table234534568791112151416171819202122232425262728345678910113456789101112410[[#This Row],[Mulbhag]]</f>
        <v>6388</v>
      </c>
      <c r="C12" s="28">
        <f>Table234534568791112151416171819202122232425262728345678910113456789101112410[[#This Row],[Profit]]/3</f>
        <v>3194</v>
      </c>
      <c r="D12" s="7">
        <f t="shared" si="0"/>
        <v>9582</v>
      </c>
      <c r="E12" s="7">
        <f t="shared" si="1"/>
        <v>22358</v>
      </c>
      <c r="F12" s="7">
        <f t="shared" si="2"/>
        <v>31940</v>
      </c>
      <c r="G12" s="7">
        <v>11200</v>
      </c>
      <c r="H12" s="7">
        <v>20740</v>
      </c>
      <c r="I12" s="7">
        <f>IFERROR(VLOOKUP(Table234534568791112151416171819202122232425262728345678910113456789101112410[[#This Row],[Date]],'May Expense'!H10:K259,3,0),0)</f>
        <v>2680</v>
      </c>
      <c r="J12" s="7">
        <f>IFERROR(VLOOKUP(Table234534568791112151416171819202122232425262728345678910113456789101112410[[#This Row],[Date]],'May Expense'!H10:K259,4,0),0)</f>
        <v>3000</v>
      </c>
      <c r="K12" s="7">
        <f>Table234534568791112151416171819202122232425262728345678910113456789101112410[[#This Row],[Account Transfer]]-Table234534568791112151416171819202122232425262728345678910113456789101112410[[#This Row],[Expense Online]]</f>
        <v>17740</v>
      </c>
      <c r="L12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-1062</v>
      </c>
      <c r="M12" s="7">
        <f>Table234534568791112151416171819202122232425262728345678910113456789101112410[[#This Row],[Cash]]-Table234534568791112151416171819202122232425262728345678910113456789101112410[[#This Row],[Expense]]</f>
        <v>8520</v>
      </c>
      <c r="N12" s="45"/>
    </row>
    <row r="13" spans="1:22" x14ac:dyDescent="0.35">
      <c r="A13" s="6">
        <v>45788</v>
      </c>
      <c r="B13" s="7">
        <f>Table234534568791112151416171819202122232425262728345678910113456789101112410[[#This Row],[Profit]]-Table234534568791112151416171819202122232425262728345678910113456789101112410[[#This Row],[Mulbhag]]</f>
        <v>3017.5999999999995</v>
      </c>
      <c r="C13" s="28">
        <f>Table234534568791112151416171819202122232425262728345678910113456789101112410[[#This Row],[Profit]]/3</f>
        <v>1508.8</v>
      </c>
      <c r="D13" s="7">
        <f t="shared" si="0"/>
        <v>4526.3999999999996</v>
      </c>
      <c r="E13" s="7">
        <f t="shared" si="1"/>
        <v>10561.6</v>
      </c>
      <c r="F13" s="7">
        <f t="shared" si="2"/>
        <v>15088</v>
      </c>
      <c r="G13" s="7">
        <v>4510</v>
      </c>
      <c r="H13" s="7">
        <f>6110+4468</f>
        <v>10578</v>
      </c>
      <c r="I13" s="7">
        <f>IFERROR(VLOOKUP(Table234534568791112151416171819202122232425262728345678910113456789101112410[[#This Row],[Date]],'May Expense'!H11:K260,3,0),0)</f>
        <v>5660</v>
      </c>
      <c r="J13" s="7">
        <f>IFERROR(VLOOKUP(Table234534568791112151416171819202122232425262728345678910113456789101112410[[#This Row],[Date]],'May Expense'!H11:K260,4,0),0)</f>
        <v>0</v>
      </c>
      <c r="K13" s="7">
        <f>Table234534568791112151416171819202122232425262728345678910113456789101112410[[#This Row],[Account Transfer]]-Table234534568791112151416171819202122232425262728345678910113456789101112410[[#This Row],[Expense Online]]</f>
        <v>10578</v>
      </c>
      <c r="L13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-5676.4</v>
      </c>
      <c r="M13" s="7">
        <f>Table234534568791112151416171819202122232425262728345678910113456789101112410[[#This Row],[Cash]]-Table234534568791112151416171819202122232425262728345678910113456789101112410[[#This Row],[Expense]]</f>
        <v>-1150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45789</v>
      </c>
      <c r="B14" s="7">
        <f>Table234534568791112151416171819202122232425262728345678910113456789101112410[[#This Row],[Profit]]-Table234534568791112151416171819202122232425262728345678910113456789101112410[[#This Row],[Mulbhag]]</f>
        <v>4950</v>
      </c>
      <c r="C14" s="28">
        <f>Table234534568791112151416171819202122232425262728345678910113456789101112410[[#This Row],[Profit]]/3</f>
        <v>2475</v>
      </c>
      <c r="D14" s="7">
        <f t="shared" si="0"/>
        <v>7425</v>
      </c>
      <c r="E14" s="7">
        <f t="shared" si="1"/>
        <v>17325</v>
      </c>
      <c r="F14" s="7">
        <f t="shared" si="2"/>
        <v>24750</v>
      </c>
      <c r="G14" s="7">
        <v>3900</v>
      </c>
      <c r="H14" s="7">
        <v>20850</v>
      </c>
      <c r="I14" s="7">
        <f>IFERROR(VLOOKUP(Table234534568791112151416171819202122232425262728345678910113456789101112410[[#This Row],[Date]],'May Expense'!H12:K261,3,0),0)</f>
        <v>8070</v>
      </c>
      <c r="J14" s="7">
        <f>IFERROR(VLOOKUP(Table234534568791112151416171819202122232425262728345678910113456789101112410[[#This Row],[Date]],'May Expense'!H12:K261,4,0),0)</f>
        <v>25000</v>
      </c>
      <c r="K14" s="7">
        <f>Table234534568791112151416171819202122232425262728345678910113456789101112410[[#This Row],[Account Transfer]]-Table234534568791112151416171819202122232425262728345678910113456789101112410[[#This Row],[Expense Online]]</f>
        <v>-4150</v>
      </c>
      <c r="L14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-11595</v>
      </c>
      <c r="M14" s="7">
        <f>Table234534568791112151416171819202122232425262728345678910113456789101112410[[#This Row],[Cash]]-Table234534568791112151416171819202122232425262728345678910113456789101112410[[#This Row],[Expense]]</f>
        <v>-4170</v>
      </c>
      <c r="N14" s="45"/>
      <c r="O14" s="10">
        <f t="shared" ref="O14:O20" si="11">A10</f>
        <v>45785</v>
      </c>
      <c r="P14" s="11">
        <f>Q14/3</f>
        <v>1234</v>
      </c>
      <c r="Q14" s="11">
        <f>S14*0.3</f>
        <v>3702</v>
      </c>
      <c r="R14" s="11">
        <f t="shared" ref="R14:R20" si="12">S14-Q14</f>
        <v>8638</v>
      </c>
      <c r="S14" s="11">
        <f>T14+U14</f>
        <v>12340</v>
      </c>
      <c r="T14" s="11">
        <f t="shared" ref="T14:T20" si="13">VLOOKUP(O14,$A$1:$J$34,7,0)</f>
        <v>3670</v>
      </c>
      <c r="U14" s="11">
        <f t="shared" ref="U14:U20" si="14">VLOOKUP(O14,$A$1:$J$34,8,0)</f>
        <v>8670</v>
      </c>
      <c r="V14" s="11">
        <f t="shared" ref="V14:V20" si="15">VLOOKUP(O14,$A$1:$J$34,9,0)</f>
        <v>1170</v>
      </c>
    </row>
    <row r="15" spans="1:22" x14ac:dyDescent="0.35">
      <c r="A15" s="6">
        <v>45790</v>
      </c>
      <c r="B15" s="7">
        <f>Table234534568791112151416171819202122232425262728345678910113456789101112410[[#This Row],[Profit]]-Table234534568791112151416171819202122232425262728345678910113456789101112410[[#This Row],[Mulbhag]]</f>
        <v>3050.8</v>
      </c>
      <c r="C15" s="28">
        <f>Table234534568791112151416171819202122232425262728345678910113456789101112410[[#This Row],[Profit]]/3</f>
        <v>1525.3999999999999</v>
      </c>
      <c r="D15" s="7">
        <f t="shared" si="0"/>
        <v>4576.2</v>
      </c>
      <c r="E15" s="7">
        <f t="shared" si="1"/>
        <v>10677.8</v>
      </c>
      <c r="F15" s="7">
        <f t="shared" si="2"/>
        <v>15254</v>
      </c>
      <c r="G15" s="7">
        <v>2000</v>
      </c>
      <c r="H15" s="7">
        <v>13254</v>
      </c>
      <c r="I15" s="7">
        <f>IFERROR(VLOOKUP(Table234534568791112151416171819202122232425262728345678910113456789101112410[[#This Row],[Date]],'May Expense'!H13:K262,3,0),0)</f>
        <v>120</v>
      </c>
      <c r="J15" s="7">
        <f>IFERROR(VLOOKUP(Table234534568791112151416171819202122232425262728345678910113456789101112410[[#This Row],[Date]],'May Expense'!H13:K262,4,0),0)</f>
        <v>13390</v>
      </c>
      <c r="K15" s="7">
        <f>Table234534568791112151416171819202122232425262728345678910113456789101112410[[#This Row],[Account Transfer]]-Table234534568791112151416171819202122232425262728345678910113456789101112410[[#This Row],[Expense Online]]</f>
        <v>-136</v>
      </c>
      <c r="L15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-2696.2</v>
      </c>
      <c r="M15" s="7">
        <f>Table234534568791112151416171819202122232425262728345678910113456789101112410[[#This Row],[Cash]]-Table234534568791112151416171819202122232425262728345678910113456789101112410[[#This Row],[Expense]]</f>
        <v>1880</v>
      </c>
      <c r="N15" s="45"/>
      <c r="O15" s="8">
        <f t="shared" si="11"/>
        <v>45786</v>
      </c>
      <c r="P15" s="9">
        <f>Q15/3</f>
        <v>1821.1999999999998</v>
      </c>
      <c r="Q15" s="9">
        <f>S15*0.3</f>
        <v>5463.5999999999995</v>
      </c>
      <c r="R15" s="9">
        <f t="shared" si="12"/>
        <v>12748.400000000001</v>
      </c>
      <c r="S15" s="9">
        <f t="shared" ref="S15:S20" si="16">T15+U15</f>
        <v>18212</v>
      </c>
      <c r="T15" s="9">
        <f t="shared" si="13"/>
        <v>9212</v>
      </c>
      <c r="U15" s="9">
        <f t="shared" si="14"/>
        <v>9000</v>
      </c>
      <c r="V15" s="9">
        <f t="shared" si="15"/>
        <v>8120</v>
      </c>
    </row>
    <row r="16" spans="1:22" x14ac:dyDescent="0.35">
      <c r="A16" s="6">
        <v>45791</v>
      </c>
      <c r="B16" s="7">
        <f>Table234534568791112151416171819202122232425262728345678910113456789101112410[[#This Row],[Profit]]-Table234534568791112151416171819202122232425262728345678910113456789101112410[[#This Row],[Mulbhag]]</f>
        <v>1834</v>
      </c>
      <c r="C16" s="28">
        <f>Table234534568791112151416171819202122232425262728345678910113456789101112410[[#This Row],[Profit]]/3</f>
        <v>917</v>
      </c>
      <c r="D16" s="7">
        <f t="shared" si="0"/>
        <v>2751</v>
      </c>
      <c r="E16" s="7">
        <f t="shared" si="1"/>
        <v>6419</v>
      </c>
      <c r="F16" s="7">
        <f t="shared" si="2"/>
        <v>9170</v>
      </c>
      <c r="G16" s="7">
        <v>7150</v>
      </c>
      <c r="H16" s="7">
        <v>2020</v>
      </c>
      <c r="I16" s="7">
        <f>IFERROR(VLOOKUP(Table234534568791112151416171819202122232425262728345678910113456789101112410[[#This Row],[Date]],'May Expense'!H14:K263,3,0),0)</f>
        <v>1690</v>
      </c>
      <c r="J16" s="7">
        <f>IFERROR(VLOOKUP(Table234534568791112151416171819202122232425262728345678910113456789101112410[[#This Row],[Date]],'May Expense'!H14:K263,4,0),0)</f>
        <v>10000</v>
      </c>
      <c r="K16" s="7">
        <f>Table234534568791112151416171819202122232425262728345678910113456789101112410[[#This Row],[Account Transfer]]-Table234534568791112151416171819202122232425262728345678910113456789101112410[[#This Row],[Expense Online]]</f>
        <v>-7980</v>
      </c>
      <c r="L16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2709</v>
      </c>
      <c r="M16" s="7">
        <f>Table234534568791112151416171819202122232425262728345678910113456789101112410[[#This Row],[Cash]]-Table234534568791112151416171819202122232425262728345678910113456789101112410[[#This Row],[Expense]]</f>
        <v>5460</v>
      </c>
      <c r="N16" s="45"/>
      <c r="O16" s="10">
        <f t="shared" si="11"/>
        <v>45787</v>
      </c>
      <c r="P16" s="11">
        <f t="shared" ref="P16:P20" si="17">Q16/3</f>
        <v>3194</v>
      </c>
      <c r="Q16" s="11">
        <f t="shared" ref="Q16:Q20" si="18">S16*0.3</f>
        <v>9582</v>
      </c>
      <c r="R16" s="11">
        <f t="shared" si="12"/>
        <v>22358</v>
      </c>
      <c r="S16" s="11">
        <f t="shared" si="16"/>
        <v>31940</v>
      </c>
      <c r="T16" s="11">
        <f t="shared" si="13"/>
        <v>11200</v>
      </c>
      <c r="U16" s="11">
        <f t="shared" si="14"/>
        <v>20740</v>
      </c>
      <c r="V16" s="11">
        <f t="shared" si="15"/>
        <v>2680</v>
      </c>
    </row>
    <row r="17" spans="1:22" x14ac:dyDescent="0.35">
      <c r="A17" s="6">
        <v>45792</v>
      </c>
      <c r="B17" s="7">
        <f>Table234534568791112151416171819202122232425262728345678910113456789101112410[[#This Row],[Profit]]-Table234534568791112151416171819202122232425262728345678910113456789101112410[[#This Row],[Mulbhag]]</f>
        <v>6171</v>
      </c>
      <c r="C17" s="28">
        <f>Table234534568791112151416171819202122232425262728345678910113456789101112410[[#This Row],[Profit]]/3</f>
        <v>3085.5</v>
      </c>
      <c r="D17" s="7">
        <f t="shared" si="0"/>
        <v>9256.5</v>
      </c>
      <c r="E17" s="7">
        <f t="shared" si="1"/>
        <v>21598.5</v>
      </c>
      <c r="F17" s="7">
        <f t="shared" si="2"/>
        <v>30855</v>
      </c>
      <c r="G17" s="7">
        <v>9500</v>
      </c>
      <c r="H17" s="7">
        <f>14000+7355</f>
        <v>21355</v>
      </c>
      <c r="I17" s="7">
        <f>IFERROR(VLOOKUP(Table234534568791112151416171819202122232425262728345678910113456789101112410[[#This Row],[Date]],'May Expense'!H15:K264,3,0),0)</f>
        <v>9130</v>
      </c>
      <c r="J17" s="7">
        <f>IFERROR(VLOOKUP(Table234534568791112151416171819202122232425262728345678910113456789101112410[[#This Row],[Date]],'May Expense'!H15:K264,4,0),0)</f>
        <v>23520</v>
      </c>
      <c r="K17" s="7">
        <f>Table234534568791112151416171819202122232425262728345678910113456789101112410[[#This Row],[Account Transfer]]-Table234534568791112151416171819202122232425262728345678910113456789101112410[[#This Row],[Expense Online]]</f>
        <v>-2165</v>
      </c>
      <c r="L17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-8886.5</v>
      </c>
      <c r="M17" s="7">
        <f>Table234534568791112151416171819202122232425262728345678910113456789101112410[[#This Row],[Cash]]-Table234534568791112151416171819202122232425262728345678910113456789101112410[[#This Row],[Expense]]</f>
        <v>370</v>
      </c>
      <c r="N17" s="45"/>
      <c r="O17" s="8">
        <f t="shared" si="11"/>
        <v>45788</v>
      </c>
      <c r="P17" s="9">
        <f t="shared" si="17"/>
        <v>1508.8</v>
      </c>
      <c r="Q17" s="9">
        <f t="shared" si="18"/>
        <v>4526.3999999999996</v>
      </c>
      <c r="R17" s="9">
        <f t="shared" si="12"/>
        <v>10561.6</v>
      </c>
      <c r="S17" s="9">
        <f t="shared" si="16"/>
        <v>15088</v>
      </c>
      <c r="T17" s="9">
        <f t="shared" si="13"/>
        <v>4510</v>
      </c>
      <c r="U17" s="9">
        <f t="shared" si="14"/>
        <v>10578</v>
      </c>
      <c r="V17" s="9">
        <f t="shared" si="15"/>
        <v>5660</v>
      </c>
    </row>
    <row r="18" spans="1:22" x14ac:dyDescent="0.35">
      <c r="A18" s="6">
        <v>45793</v>
      </c>
      <c r="B18" s="7">
        <f>Table234534568791112151416171819202122232425262728345678910113456789101112410[[#This Row],[Profit]]-Table234534568791112151416171819202122232425262728345678910113456789101112410[[#This Row],[Mulbhag]]</f>
        <v>3666.8</v>
      </c>
      <c r="C18" s="28">
        <f>Table234534568791112151416171819202122232425262728345678910113456789101112410[[#This Row],[Profit]]/3</f>
        <v>1833.3999999999999</v>
      </c>
      <c r="D18" s="7">
        <f t="shared" si="0"/>
        <v>5500.2</v>
      </c>
      <c r="E18" s="7">
        <f t="shared" si="1"/>
        <v>12833.8</v>
      </c>
      <c r="F18" s="7">
        <f t="shared" si="2"/>
        <v>18334</v>
      </c>
      <c r="G18" s="7">
        <v>6510</v>
      </c>
      <c r="H18" s="7">
        <f>9074+2750</f>
        <v>11824</v>
      </c>
      <c r="I18" s="7">
        <f>IFERROR(VLOOKUP(Table234534568791112151416171819202122232425262728345678910113456789101112410[[#This Row],[Date]],'May Expense'!H16:K265,3,0),0)</f>
        <v>5645</v>
      </c>
      <c r="J18" s="7">
        <f>IFERROR(VLOOKUP(Table234534568791112151416171819202122232425262728345678910113456789101112410[[#This Row],[Date]],'May Expense'!H16:K265,4,0),0)</f>
        <v>950</v>
      </c>
      <c r="K18" s="7">
        <f>Table234534568791112151416171819202122232425262728345678910113456789101112410[[#This Row],[Account Transfer]]-Table234534568791112151416171819202122232425262728345678910113456789101112410[[#This Row],[Expense Online]]</f>
        <v>10874</v>
      </c>
      <c r="L18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-4635.2</v>
      </c>
      <c r="M18" s="7">
        <f>Table234534568791112151416171819202122232425262728345678910113456789101112410[[#This Row],[Cash]]-Table234534568791112151416171819202122232425262728345678910113456789101112410[[#This Row],[Expense]]</f>
        <v>865</v>
      </c>
      <c r="N18" s="45"/>
      <c r="O18" s="10">
        <f t="shared" si="11"/>
        <v>45789</v>
      </c>
      <c r="P18" s="11">
        <f t="shared" si="17"/>
        <v>2475</v>
      </c>
      <c r="Q18" s="11">
        <f t="shared" si="18"/>
        <v>7425</v>
      </c>
      <c r="R18" s="11">
        <f t="shared" si="12"/>
        <v>17325</v>
      </c>
      <c r="S18" s="11">
        <f t="shared" si="16"/>
        <v>24750</v>
      </c>
      <c r="T18" s="11">
        <f t="shared" si="13"/>
        <v>3900</v>
      </c>
      <c r="U18" s="11">
        <f t="shared" si="14"/>
        <v>20850</v>
      </c>
      <c r="V18" s="11">
        <f t="shared" si="15"/>
        <v>8070</v>
      </c>
    </row>
    <row r="19" spans="1:22" x14ac:dyDescent="0.35">
      <c r="A19" s="6">
        <v>45794</v>
      </c>
      <c r="B19" s="7">
        <f>Table234534568791112151416171819202122232425262728345678910113456789101112410[[#This Row],[Profit]]-Table234534568791112151416171819202122232425262728345678910113456789101112410[[#This Row],[Mulbhag]]</f>
        <v>2886</v>
      </c>
      <c r="C19" s="28">
        <f>Table234534568791112151416171819202122232425262728345678910113456789101112410[[#This Row],[Profit]]/3</f>
        <v>1443</v>
      </c>
      <c r="D19" s="7">
        <f t="shared" si="0"/>
        <v>4329</v>
      </c>
      <c r="E19" s="7">
        <f t="shared" si="1"/>
        <v>10101</v>
      </c>
      <c r="F19" s="7">
        <f t="shared" si="2"/>
        <v>14430</v>
      </c>
      <c r="G19" s="7">
        <v>5750</v>
      </c>
      <c r="H19" s="7">
        <v>8680</v>
      </c>
      <c r="I19" s="7">
        <f>IFERROR(VLOOKUP(Table234534568791112151416171819202122232425262728345678910113456789101112410[[#This Row],[Date]],'May Expense'!H17:K266,3,0),0)</f>
        <v>2150</v>
      </c>
      <c r="J19" s="7">
        <f>IFERROR(VLOOKUP(Table234534568791112151416171819202122232425262728345678910113456789101112410[[#This Row],[Date]],'May Expense'!H17:K266,4,0),0)</f>
        <v>900</v>
      </c>
      <c r="K19" s="7">
        <f>Table234534568791112151416171819202122232425262728345678910113456789101112410[[#This Row],[Account Transfer]]-Table234534568791112151416171819202122232425262728345678910113456789101112410[[#This Row],[Expense Online]]</f>
        <v>7780</v>
      </c>
      <c r="L19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-729</v>
      </c>
      <c r="M19" s="7">
        <f>Table234534568791112151416171819202122232425262728345678910113456789101112410[[#This Row],[Cash]]-Table234534568791112151416171819202122232425262728345678910113456789101112410[[#This Row],[Expense]]</f>
        <v>3600</v>
      </c>
      <c r="N19" s="45"/>
      <c r="O19" s="8">
        <f t="shared" si="11"/>
        <v>45790</v>
      </c>
      <c r="P19" s="9">
        <f t="shared" si="17"/>
        <v>1525.3999999999999</v>
      </c>
      <c r="Q19" s="9">
        <f t="shared" si="18"/>
        <v>4576.2</v>
      </c>
      <c r="R19" s="9">
        <f t="shared" si="12"/>
        <v>10677.8</v>
      </c>
      <c r="S19" s="9">
        <f t="shared" si="16"/>
        <v>15254</v>
      </c>
      <c r="T19" s="9">
        <f t="shared" si="13"/>
        <v>2000</v>
      </c>
      <c r="U19" s="9">
        <f t="shared" si="14"/>
        <v>13254</v>
      </c>
      <c r="V19" s="9">
        <f t="shared" si="15"/>
        <v>120</v>
      </c>
    </row>
    <row r="20" spans="1:22" x14ac:dyDescent="0.35">
      <c r="A20" s="6">
        <v>45795</v>
      </c>
      <c r="B20" s="7">
        <f>Table234534568791112151416171819202122232425262728345678910113456789101112410[[#This Row],[Profit]]-Table234534568791112151416171819202122232425262728345678910113456789101112410[[#This Row],[Mulbhag]]</f>
        <v>2520</v>
      </c>
      <c r="C20" s="28">
        <f>Table234534568791112151416171819202122232425262728345678910113456789101112410[[#This Row],[Profit]]/3</f>
        <v>1260</v>
      </c>
      <c r="D20" s="7">
        <f t="shared" si="0"/>
        <v>3780</v>
      </c>
      <c r="E20" s="7">
        <f t="shared" si="1"/>
        <v>8820</v>
      </c>
      <c r="F20" s="7">
        <f t="shared" si="2"/>
        <v>12600</v>
      </c>
      <c r="G20" s="7">
        <v>4400</v>
      </c>
      <c r="H20" s="7">
        <v>8200</v>
      </c>
      <c r="I20" s="7">
        <f>IFERROR(VLOOKUP(Table234534568791112151416171819202122232425262728345678910113456789101112410[[#This Row],[Date]],'May Expense'!H18:K267,3,0),0)</f>
        <v>2850</v>
      </c>
      <c r="J20" s="7">
        <f>IFERROR(VLOOKUP(Table234534568791112151416171819202122232425262728345678910113456789101112410[[#This Row],[Date]],'May Expense'!H18:K267,4,0),0)</f>
        <v>43000</v>
      </c>
      <c r="K20" s="7">
        <f>Table234534568791112151416171819202122232425262728345678910113456789101112410[[#This Row],[Account Transfer]]-Table234534568791112151416171819202122232425262728345678910113456789101112410[[#This Row],[Expense Online]]</f>
        <v>-34800</v>
      </c>
      <c r="L20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-2230</v>
      </c>
      <c r="M20" s="7">
        <f>Table234534568791112151416171819202122232425262728345678910113456789101112410[[#This Row],[Cash]]-Table234534568791112151416171819202122232425262728345678910113456789101112410[[#This Row],[Expense]]</f>
        <v>1550</v>
      </c>
      <c r="N20" s="45"/>
      <c r="O20" s="10">
        <f t="shared" si="11"/>
        <v>45791</v>
      </c>
      <c r="P20" s="11">
        <f t="shared" si="17"/>
        <v>917</v>
      </c>
      <c r="Q20" s="11">
        <f t="shared" si="18"/>
        <v>2751</v>
      </c>
      <c r="R20" s="11">
        <f t="shared" si="12"/>
        <v>6419</v>
      </c>
      <c r="S20" s="11">
        <f t="shared" si="16"/>
        <v>9170</v>
      </c>
      <c r="T20" s="11">
        <f t="shared" si="13"/>
        <v>7150</v>
      </c>
      <c r="U20" s="11">
        <f t="shared" si="14"/>
        <v>2020</v>
      </c>
      <c r="V20" s="11">
        <f t="shared" si="15"/>
        <v>1690</v>
      </c>
    </row>
    <row r="21" spans="1:22" x14ac:dyDescent="0.35">
      <c r="A21" s="6">
        <v>45796</v>
      </c>
      <c r="B21" s="7">
        <f>Table234534568791112151416171819202122232425262728345678910113456789101112410[[#This Row],[Profit]]-Table234534568791112151416171819202122232425262728345678910113456789101112410[[#This Row],[Mulbhag]]</f>
        <v>990</v>
      </c>
      <c r="C21" s="28">
        <f>Table234534568791112151416171819202122232425262728345678910113456789101112410[[#This Row],[Profit]]/3</f>
        <v>495</v>
      </c>
      <c r="D21" s="7">
        <f t="shared" si="0"/>
        <v>1485</v>
      </c>
      <c r="E21" s="7">
        <f t="shared" si="1"/>
        <v>3465</v>
      </c>
      <c r="F21" s="7">
        <f t="shared" si="2"/>
        <v>4950</v>
      </c>
      <c r="G21" s="7">
        <v>2180</v>
      </c>
      <c r="H21" s="7">
        <v>2770</v>
      </c>
      <c r="I21" s="7">
        <f>IFERROR(VLOOKUP(Table234534568791112151416171819202122232425262728345678910113456789101112410[[#This Row],[Date]],'May Expense'!H19:K268,3,0),0)</f>
        <v>680</v>
      </c>
      <c r="J21" s="7">
        <f>IFERROR(VLOOKUP(Table234534568791112151416171819202122232425262728345678910113456789101112410[[#This Row],[Date]],'May Expense'!H19:K268,4,0),0)</f>
        <v>380</v>
      </c>
      <c r="K21" s="7">
        <f>Table234534568791112151416171819202122232425262728345678910113456789101112410[[#This Row],[Account Transfer]]-Table234534568791112151416171819202122232425262728345678910113456789101112410[[#This Row],[Expense Online]]</f>
        <v>2390</v>
      </c>
      <c r="L21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15</v>
      </c>
      <c r="M21" s="7">
        <f>Table234534568791112151416171819202122232425262728345678910113456789101112410[[#This Row],[Cash]]-Table234534568791112151416171819202122232425262728345678910113456789101112410[[#This Row],[Expense]]</f>
        <v>1500</v>
      </c>
      <c r="N21" s="45"/>
      <c r="O21" s="12" t="s">
        <v>3</v>
      </c>
      <c r="P21" s="12">
        <f>SUM(P14:P20)</f>
        <v>12675.4</v>
      </c>
      <c r="Q21" s="12">
        <f t="shared" ref="Q21:V21" si="19">SUM(Q14:Q20)</f>
        <v>38026.199999999997</v>
      </c>
      <c r="R21" s="12">
        <f t="shared" si="19"/>
        <v>88727.8</v>
      </c>
      <c r="S21" s="12">
        <f t="shared" si="19"/>
        <v>126754</v>
      </c>
      <c r="T21" s="12">
        <f t="shared" si="19"/>
        <v>41642</v>
      </c>
      <c r="U21" s="12">
        <f t="shared" si="19"/>
        <v>85112</v>
      </c>
      <c r="V21" s="12">
        <f t="shared" si="19"/>
        <v>27510</v>
      </c>
    </row>
    <row r="22" spans="1:22" x14ac:dyDescent="0.35">
      <c r="A22" s="6">
        <v>45797</v>
      </c>
      <c r="B22" s="7">
        <f>Table234534568791112151416171819202122232425262728345678910113456789101112410[[#This Row],[Profit]]-Table234534568791112151416171819202122232425262728345678910113456789101112410[[#This Row],[Mulbhag]]</f>
        <v>4786</v>
      </c>
      <c r="C22" s="28">
        <f>Table234534568791112151416171819202122232425262728345678910113456789101112410[[#This Row],[Profit]]/3</f>
        <v>2393</v>
      </c>
      <c r="D22" s="7">
        <f t="shared" si="0"/>
        <v>7179</v>
      </c>
      <c r="E22" s="7">
        <f t="shared" si="1"/>
        <v>16751</v>
      </c>
      <c r="F22" s="7">
        <f t="shared" si="2"/>
        <v>23930</v>
      </c>
      <c r="G22" s="7">
        <v>9760</v>
      </c>
      <c r="H22" s="7">
        <v>14170</v>
      </c>
      <c r="I22" s="7">
        <f>IFERROR(VLOOKUP(Table234534568791112151416171819202122232425262728345678910113456789101112410[[#This Row],[Date]],'May Expense'!H20:K269,3,0),0)</f>
        <v>2150</v>
      </c>
      <c r="J22" s="7">
        <f>IFERROR(VLOOKUP(Table234534568791112151416171819202122232425262728345678910113456789101112410[[#This Row],[Date]],'May Expense'!H20:K269,4,0),0)</f>
        <v>60000</v>
      </c>
      <c r="K22" s="7">
        <f>Table234534568791112151416171819202122232425262728345678910113456789101112410[[#This Row],[Account Transfer]]-Table234534568791112151416171819202122232425262728345678910113456789101112410[[#This Row],[Expense Online]]</f>
        <v>-45830</v>
      </c>
      <c r="L22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431</v>
      </c>
      <c r="M22" s="7">
        <f>Table234534568791112151416171819202122232425262728345678910113456789101112410[[#This Row],[Cash]]-Table234534568791112151416171819202122232425262728345678910113456789101112410[[#This Row],[Expense]]</f>
        <v>7610</v>
      </c>
      <c r="N22" s="45"/>
      <c r="O22" s="12" t="s">
        <v>7</v>
      </c>
      <c r="P22" s="12"/>
      <c r="Q22" s="12">
        <f>Q21/3</f>
        <v>12675.4</v>
      </c>
      <c r="R22" s="12"/>
      <c r="S22" s="12">
        <f>R22+Q22</f>
        <v>12675.4</v>
      </c>
      <c r="T22" s="11"/>
      <c r="U22" s="11"/>
      <c r="V22" s="11"/>
    </row>
    <row r="23" spans="1:22" x14ac:dyDescent="0.35">
      <c r="A23" s="6">
        <v>45798</v>
      </c>
      <c r="B23" s="7">
        <f>Table234534568791112151416171819202122232425262728345678910113456789101112410[[#This Row],[Profit]]-Table234534568791112151416171819202122232425262728345678910113456789101112410[[#This Row],[Mulbhag]]</f>
        <v>4802</v>
      </c>
      <c r="C23" s="43">
        <f>Table234534568791112151416171819202122232425262728345678910113456789101112410[[#This Row],[Profit]]/3</f>
        <v>2401</v>
      </c>
      <c r="D23" s="7">
        <f t="shared" si="0"/>
        <v>7203</v>
      </c>
      <c r="E23" s="7">
        <f t="shared" si="1"/>
        <v>16807</v>
      </c>
      <c r="F23" s="7">
        <f t="shared" si="2"/>
        <v>24010</v>
      </c>
      <c r="G23" s="7">
        <v>17810</v>
      </c>
      <c r="H23" s="7">
        <v>6200</v>
      </c>
      <c r="I23" s="7">
        <f>IFERROR(VLOOKUP(Table234534568791112151416171819202122232425262728345678910113456789101112410[[#This Row],[Date]],'May Expense'!H21:K270,3,0),0)</f>
        <v>3880</v>
      </c>
      <c r="J23" s="7">
        <f>IFERROR(VLOOKUP(Table234534568791112151416171819202122232425262728345678910113456789101112410[[#This Row],[Date]],'May Expense'!H21:K270,4,0),0)</f>
        <v>6400</v>
      </c>
      <c r="K23" s="7">
        <f>Table234534568791112151416171819202122232425262728345678910113456789101112410[[#This Row],[Account Transfer]]-Table234534568791112151416171819202122232425262728345678910113456789101112410[[#This Row],[Expense Online]]</f>
        <v>-200</v>
      </c>
      <c r="L23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6727</v>
      </c>
      <c r="M23" s="7">
        <f>Table234534568791112151416171819202122232425262728345678910113456789101112410[[#This Row],[Cash]]-Table234534568791112151416171819202122232425262728345678910113456789101112410[[#This Row],[Expense]]</f>
        <v>13930</v>
      </c>
      <c r="N23" s="45"/>
    </row>
    <row r="24" spans="1:22" x14ac:dyDescent="0.35">
      <c r="A24" s="6">
        <v>45799</v>
      </c>
      <c r="B24" s="7">
        <f>Table234534568791112151416171819202122232425262728345678910113456789101112410[[#This Row],[Profit]]-Table234534568791112151416171819202122232425262728345678910113456789101112410[[#This Row],[Mulbhag]]</f>
        <v>1320</v>
      </c>
      <c r="C24" s="43">
        <f>Table234534568791112151416171819202122232425262728345678910113456789101112410[[#This Row],[Profit]]/3</f>
        <v>660</v>
      </c>
      <c r="D24" s="7">
        <f t="shared" si="0"/>
        <v>1980</v>
      </c>
      <c r="E24" s="7">
        <f t="shared" si="1"/>
        <v>4620</v>
      </c>
      <c r="F24" s="7">
        <f t="shared" si="2"/>
        <v>6600</v>
      </c>
      <c r="G24" s="7">
        <v>3200</v>
      </c>
      <c r="H24" s="7">
        <v>3400</v>
      </c>
      <c r="I24" s="7">
        <f>IFERROR(VLOOKUP(Table234534568791112151416171819202122232425262728345678910113456789101112410[[#This Row],[Date]],'May Expense'!H22:K271,3,0),0)</f>
        <v>51280</v>
      </c>
      <c r="J24" s="7">
        <f>IFERROR(VLOOKUP(Table234534568791112151416171819202122232425262728345678910113456789101112410[[#This Row],[Date]],'May Expense'!H22:K271,4,0),0)</f>
        <v>74000</v>
      </c>
      <c r="K24" s="7">
        <f>Table234534568791112151416171819202122232425262728345678910113456789101112410[[#This Row],[Account Transfer]]-Table234534568791112151416171819202122232425262728345678910113456789101112410[[#This Row],[Expense Online]]</f>
        <v>-70600</v>
      </c>
      <c r="L24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-50060</v>
      </c>
      <c r="M24" s="7">
        <f>Table234534568791112151416171819202122232425262728345678910113456789101112410[[#This Row],[Cash]]-Table234534568791112151416171819202122232425262728345678910113456789101112410[[#This Row],[Expense]]</f>
        <v>-48080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45800</v>
      </c>
      <c r="B25" s="7">
        <f>Table234534568791112151416171819202122232425262728345678910113456789101112410[[#This Row],[Profit]]-Table234534568791112151416171819202122232425262728345678910113456789101112410[[#This Row],[Mulbhag]]</f>
        <v>2600</v>
      </c>
      <c r="C25" s="43">
        <f>Table234534568791112151416171819202122232425262728345678910113456789101112410[[#This Row],[Profit]]/3</f>
        <v>1300</v>
      </c>
      <c r="D25" s="7">
        <f t="shared" si="0"/>
        <v>3900</v>
      </c>
      <c r="E25" s="7">
        <f t="shared" si="1"/>
        <v>9100</v>
      </c>
      <c r="F25" s="7">
        <f t="shared" si="2"/>
        <v>13000</v>
      </c>
      <c r="G25" s="7">
        <v>5700</v>
      </c>
      <c r="H25" s="7">
        <v>7300</v>
      </c>
      <c r="I25" s="7">
        <f>IFERROR(VLOOKUP(Table234534568791112151416171819202122232425262728345678910113456789101112410[[#This Row],[Date]],'May Expense'!H23:K272,3,0),0)</f>
        <v>2120</v>
      </c>
      <c r="J25" s="7">
        <f>IFERROR(VLOOKUP(Table234534568791112151416171819202122232425262728345678910113456789101112410[[#This Row],[Date]],'May Expense'!H23:K272,4,0),0)</f>
        <v>0</v>
      </c>
      <c r="K25" s="7">
        <f>Table234534568791112151416171819202122232425262728345678910113456789101112410[[#This Row],[Account Transfer]]-Table234534568791112151416171819202122232425262728345678910113456789101112410[[#This Row],[Expense Online]]</f>
        <v>7300</v>
      </c>
      <c r="L25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-320</v>
      </c>
      <c r="M25" s="7">
        <f>Table234534568791112151416171819202122232425262728345678910113456789101112410[[#This Row],[Cash]]-Table234534568791112151416171819202122232425262728345678910113456789101112410[[#This Row],[Expense]]</f>
        <v>3580</v>
      </c>
      <c r="N25" s="45"/>
      <c r="O25" s="10">
        <f t="shared" ref="O25:O31" si="20">A17</f>
        <v>45792</v>
      </c>
      <c r="P25" s="11">
        <f>Q25/3</f>
        <v>3085.5</v>
      </c>
      <c r="Q25" s="11">
        <f>S25*0.3</f>
        <v>9256.5</v>
      </c>
      <c r="R25" s="11">
        <f t="shared" ref="R25:R31" si="21">S25-Q25</f>
        <v>21598.5</v>
      </c>
      <c r="S25" s="11">
        <f>T25+U25</f>
        <v>30855</v>
      </c>
      <c r="T25" s="11">
        <f t="shared" ref="T25:T31" si="22">VLOOKUP(O25,$A$1:$J$34,7,0)</f>
        <v>9500</v>
      </c>
      <c r="U25" s="11">
        <f t="shared" ref="U25:U31" si="23">VLOOKUP(O25,$A$1:$J$34,8,0)</f>
        <v>21355</v>
      </c>
      <c r="V25" s="11">
        <f t="shared" ref="V25:V31" si="24">VLOOKUP(O25,$A$1:$J$34,9,0)</f>
        <v>9130</v>
      </c>
    </row>
    <row r="26" spans="1:22" x14ac:dyDescent="0.35">
      <c r="A26" s="6">
        <v>45801</v>
      </c>
      <c r="B26" s="7">
        <f>Table234534568791112151416171819202122232425262728345678910113456789101112410[[#This Row],[Profit]]-Table234534568791112151416171819202122232425262728345678910113456789101112410[[#This Row],[Mulbhag]]</f>
        <v>3141</v>
      </c>
      <c r="C26" s="43">
        <f>Table234534568791112151416171819202122232425262728345678910113456789101112410[[#This Row],[Profit]]/3</f>
        <v>1570.5</v>
      </c>
      <c r="D26" s="7">
        <f t="shared" si="0"/>
        <v>4711.5</v>
      </c>
      <c r="E26" s="7">
        <f t="shared" si="1"/>
        <v>10993.5</v>
      </c>
      <c r="F26" s="7">
        <f t="shared" si="2"/>
        <v>15705</v>
      </c>
      <c r="G26" s="7">
        <v>3460</v>
      </c>
      <c r="H26" s="7">
        <f>4445+7800</f>
        <v>12245</v>
      </c>
      <c r="I26" s="7">
        <f>IFERROR(VLOOKUP(Table234534568791112151416171819202122232425262728345678910113456789101112410[[#This Row],[Date]],'May Expense'!H24:K273,3,0),0)</f>
        <v>3400</v>
      </c>
      <c r="J26" s="7">
        <f>IFERROR(VLOOKUP(Table234534568791112151416171819202122232425262728345678910113456789101112410[[#This Row],[Date]],'May Expense'!H24:K273,4,0),0)</f>
        <v>0</v>
      </c>
      <c r="K26" s="7">
        <f>Table234534568791112151416171819202122232425262728345678910113456789101112410[[#This Row],[Account Transfer]]-Table234534568791112151416171819202122232425262728345678910113456789101112410[[#This Row],[Expense Online]]</f>
        <v>12245</v>
      </c>
      <c r="L26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-4651.5</v>
      </c>
      <c r="M26" s="7">
        <f>Table234534568791112151416171819202122232425262728345678910113456789101112410[[#This Row],[Cash]]-Table234534568791112151416171819202122232425262728345678910113456789101112410[[#This Row],[Expense]]</f>
        <v>60</v>
      </c>
      <c r="N26" s="45"/>
      <c r="O26" s="8">
        <f t="shared" si="20"/>
        <v>45793</v>
      </c>
      <c r="P26" s="9">
        <f>Q26/3</f>
        <v>1833.3999999999999</v>
      </c>
      <c r="Q26" s="9">
        <f>S26*0.3</f>
        <v>5500.2</v>
      </c>
      <c r="R26" s="9">
        <f t="shared" si="21"/>
        <v>12833.8</v>
      </c>
      <c r="S26" s="9">
        <f t="shared" ref="S26:S31" si="25">T26+U26</f>
        <v>18334</v>
      </c>
      <c r="T26" s="9">
        <f t="shared" si="22"/>
        <v>6510</v>
      </c>
      <c r="U26" s="9">
        <f t="shared" si="23"/>
        <v>11824</v>
      </c>
      <c r="V26" s="9">
        <f t="shared" si="24"/>
        <v>5645</v>
      </c>
    </row>
    <row r="27" spans="1:22" x14ac:dyDescent="0.35">
      <c r="A27" s="6">
        <v>45802</v>
      </c>
      <c r="B27" s="7">
        <f>Table234534568791112151416171819202122232425262728345678910113456789101112410[[#This Row],[Profit]]-Table234534568791112151416171819202122232425262728345678910113456789101112410[[#This Row],[Mulbhag]]</f>
        <v>2962</v>
      </c>
      <c r="C27" s="43">
        <f>Table234534568791112151416171819202122232425262728345678910113456789101112410[[#This Row],[Profit]]/3</f>
        <v>1481</v>
      </c>
      <c r="D27" s="7">
        <f t="shared" si="0"/>
        <v>4443</v>
      </c>
      <c r="E27" s="7">
        <f t="shared" si="1"/>
        <v>10367</v>
      </c>
      <c r="F27" s="7">
        <f t="shared" si="2"/>
        <v>14810</v>
      </c>
      <c r="G27" s="7">
        <v>1000</v>
      </c>
      <c r="H27" s="7">
        <v>13810</v>
      </c>
      <c r="I27" s="7">
        <f>IFERROR(VLOOKUP(Table234534568791112151416171819202122232425262728345678910113456789101112410[[#This Row],[Date]],'May Expense'!H25:K274,3,0),0)</f>
        <v>600</v>
      </c>
      <c r="J27" s="7">
        <f>IFERROR(VLOOKUP(Table234534568791112151416171819202122232425262728345678910113456789101112410[[#This Row],[Date]],'May Expense'!H25:K274,4,0),0)</f>
        <v>1060</v>
      </c>
      <c r="K27" s="7">
        <f>Table234534568791112151416171819202122232425262728345678910113456789101112410[[#This Row],[Account Transfer]]-Table234534568791112151416171819202122232425262728345678910113456789101112410[[#This Row],[Expense Online]]</f>
        <v>12750</v>
      </c>
      <c r="L27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-4043</v>
      </c>
      <c r="M27" s="7">
        <f>Table234534568791112151416171819202122232425262728345678910113456789101112410[[#This Row],[Cash]]-Table234534568791112151416171819202122232425262728345678910113456789101112410[[#This Row],[Expense]]</f>
        <v>400</v>
      </c>
      <c r="N27" s="45"/>
      <c r="O27" s="10">
        <f t="shared" si="20"/>
        <v>45794</v>
      </c>
      <c r="P27" s="11">
        <f t="shared" ref="P27:P31" si="26">Q27/3</f>
        <v>1443</v>
      </c>
      <c r="Q27" s="11">
        <f t="shared" ref="Q27:Q31" si="27">S27*0.3</f>
        <v>4329</v>
      </c>
      <c r="R27" s="11">
        <f t="shared" si="21"/>
        <v>10101</v>
      </c>
      <c r="S27" s="11">
        <f t="shared" si="25"/>
        <v>14430</v>
      </c>
      <c r="T27" s="11">
        <f t="shared" si="22"/>
        <v>5750</v>
      </c>
      <c r="U27" s="11">
        <f t="shared" si="23"/>
        <v>8680</v>
      </c>
      <c r="V27" s="11">
        <f t="shared" si="24"/>
        <v>2150</v>
      </c>
    </row>
    <row r="28" spans="1:22" x14ac:dyDescent="0.35">
      <c r="A28" s="6">
        <v>45803</v>
      </c>
      <c r="B28" s="7">
        <f>Table234534568791112151416171819202122232425262728345678910113456789101112410[[#This Row],[Profit]]-Table234534568791112151416171819202122232425262728345678910113456789101112410[[#This Row],[Mulbhag]]</f>
        <v>3188</v>
      </c>
      <c r="C28" s="43">
        <f>Table234534568791112151416171819202122232425262728345678910113456789101112410[[#This Row],[Profit]]/3</f>
        <v>1594</v>
      </c>
      <c r="D28" s="7">
        <f t="shared" si="0"/>
        <v>4782</v>
      </c>
      <c r="E28" s="7">
        <f t="shared" si="1"/>
        <v>11158</v>
      </c>
      <c r="F28" s="7">
        <f t="shared" si="2"/>
        <v>15940</v>
      </c>
      <c r="G28" s="7">
        <v>820</v>
      </c>
      <c r="H28" s="7">
        <v>15120</v>
      </c>
      <c r="I28" s="7">
        <f>IFERROR(VLOOKUP(Table234534568791112151416171819202122232425262728345678910113456789101112410[[#This Row],[Date]],'May Expense'!H26:K275,3,0),0)</f>
        <v>7720</v>
      </c>
      <c r="J28" s="7">
        <f>IFERROR(VLOOKUP(Table234534568791112151416171819202122232425262728345678910113456789101112410[[#This Row],[Date]],'May Expense'!H26:K275,4,0),0)</f>
        <v>1000</v>
      </c>
      <c r="K28" s="7">
        <f>Table234534568791112151416171819202122232425262728345678910113456789101112410[[#This Row],[Account Transfer]]-Table234534568791112151416171819202122232425262728345678910113456789101112410[[#This Row],[Expense Online]]</f>
        <v>14120</v>
      </c>
      <c r="L28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-11682</v>
      </c>
      <c r="M28" s="7">
        <f>Table234534568791112151416171819202122232425262728345678910113456789101112410[[#This Row],[Cash]]-Table234534568791112151416171819202122232425262728345678910113456789101112410[[#This Row],[Expense]]</f>
        <v>-6900</v>
      </c>
      <c r="N28" s="45"/>
      <c r="O28" s="8">
        <f t="shared" si="20"/>
        <v>45795</v>
      </c>
      <c r="P28" s="9">
        <f t="shared" si="26"/>
        <v>1260</v>
      </c>
      <c r="Q28" s="9">
        <f t="shared" si="27"/>
        <v>3780</v>
      </c>
      <c r="R28" s="9">
        <f t="shared" si="21"/>
        <v>8820</v>
      </c>
      <c r="S28" s="9">
        <f t="shared" si="25"/>
        <v>12600</v>
      </c>
      <c r="T28" s="9">
        <f t="shared" si="22"/>
        <v>4400</v>
      </c>
      <c r="U28" s="9">
        <f t="shared" si="23"/>
        <v>8200</v>
      </c>
      <c r="V28" s="9">
        <f t="shared" si="24"/>
        <v>2850</v>
      </c>
    </row>
    <row r="29" spans="1:22" x14ac:dyDescent="0.35">
      <c r="A29" s="6">
        <v>45804</v>
      </c>
      <c r="B29" s="7">
        <f>Table234534568791112151416171819202122232425262728345678910113456789101112410[[#This Row],[Profit]]-Table234534568791112151416171819202122232425262728345678910113456789101112410[[#This Row],[Mulbhag]]</f>
        <v>1914</v>
      </c>
      <c r="C29" s="43">
        <f>Table234534568791112151416171819202122232425262728345678910113456789101112410[[#This Row],[Profit]]/3</f>
        <v>957</v>
      </c>
      <c r="D29" s="7">
        <f t="shared" si="0"/>
        <v>2871</v>
      </c>
      <c r="E29" s="7">
        <f t="shared" si="1"/>
        <v>6699</v>
      </c>
      <c r="F29" s="7">
        <f t="shared" si="2"/>
        <v>9570</v>
      </c>
      <c r="G29" s="7">
        <v>1570</v>
      </c>
      <c r="H29" s="7">
        <f>2510-360+5850</f>
        <v>8000</v>
      </c>
      <c r="I29" s="7">
        <f>IFERROR(VLOOKUP(Table234534568791112151416171819202122232425262728345678910113456789101112410[[#This Row],[Date]],'May Expense'!H27:K276,3,0),0)</f>
        <v>1715</v>
      </c>
      <c r="J29" s="7">
        <f>IFERROR(VLOOKUP(Table234534568791112151416171819202122232425262728345678910113456789101112410[[#This Row],[Date]],'May Expense'!H27:K276,4,0),0)</f>
        <v>3200</v>
      </c>
      <c r="K29" s="7">
        <f>Table234534568791112151416171819202122232425262728345678910113456789101112410[[#This Row],[Account Transfer]]-Table234534568791112151416171819202122232425262728345678910113456789101112410[[#This Row],[Expense Online]]</f>
        <v>4800</v>
      </c>
      <c r="L29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-3016</v>
      </c>
      <c r="M29" s="7">
        <f>Table234534568791112151416171819202122232425262728345678910113456789101112410[[#This Row],[Cash]]-Table234534568791112151416171819202122232425262728345678910113456789101112410[[#This Row],[Expense]]</f>
        <v>-145</v>
      </c>
      <c r="N29" s="45"/>
      <c r="O29" s="10">
        <f t="shared" si="20"/>
        <v>45796</v>
      </c>
      <c r="P29" s="11">
        <f t="shared" si="26"/>
        <v>495</v>
      </c>
      <c r="Q29" s="11">
        <f t="shared" si="27"/>
        <v>1485</v>
      </c>
      <c r="R29" s="11">
        <f t="shared" si="21"/>
        <v>3465</v>
      </c>
      <c r="S29" s="11">
        <f t="shared" si="25"/>
        <v>4950</v>
      </c>
      <c r="T29" s="11">
        <f t="shared" si="22"/>
        <v>2180</v>
      </c>
      <c r="U29" s="11">
        <f t="shared" si="23"/>
        <v>2770</v>
      </c>
      <c r="V29" s="11">
        <f t="shared" si="24"/>
        <v>680</v>
      </c>
    </row>
    <row r="30" spans="1:22" x14ac:dyDescent="0.35">
      <c r="A30" s="6">
        <v>45805</v>
      </c>
      <c r="B30" s="7">
        <f>Table234534568791112151416171819202122232425262728345678910113456789101112410[[#This Row],[Profit]]-Table234534568791112151416171819202122232425262728345678910113456789101112410[[#This Row],[Mulbhag]]</f>
        <v>7257</v>
      </c>
      <c r="C30" s="43">
        <f>Table234534568791112151416171819202122232425262728345678910113456789101112410[[#This Row],[Profit]]/3</f>
        <v>3628.5</v>
      </c>
      <c r="D30" s="7">
        <f t="shared" si="0"/>
        <v>10885.5</v>
      </c>
      <c r="E30" s="7">
        <f t="shared" si="1"/>
        <v>25399.5</v>
      </c>
      <c r="F30" s="7">
        <f t="shared" si="2"/>
        <v>36285</v>
      </c>
      <c r="G30" s="7">
        <v>5530</v>
      </c>
      <c r="H30" s="7">
        <f>5755+25000</f>
        <v>30755</v>
      </c>
      <c r="I30" s="7">
        <f>IFERROR(VLOOKUP(Table234534568791112151416171819202122232425262728345678910113456789101112410[[#This Row],[Date]],'May Expense'!H28:K277,3,0),0)</f>
        <v>3000</v>
      </c>
      <c r="J30" s="7">
        <f>IFERROR(VLOOKUP(Table234534568791112151416171819202122232425262728345678910113456789101112410[[#This Row],[Date]],'May Expense'!H28:K277,4,0),0)</f>
        <v>250</v>
      </c>
      <c r="K30" s="7">
        <f>Table234534568791112151416171819202122232425262728345678910113456789101112410[[#This Row],[Account Transfer]]-Table234534568791112151416171819202122232425262728345678910113456789101112410[[#This Row],[Expense Online]]</f>
        <v>30505</v>
      </c>
      <c r="L30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-8355.5</v>
      </c>
      <c r="M30" s="7">
        <f>Table234534568791112151416171819202122232425262728345678910113456789101112410[[#This Row],[Cash]]-Table234534568791112151416171819202122232425262728345678910113456789101112410[[#This Row],[Expense]]</f>
        <v>2530</v>
      </c>
      <c r="N30" s="45">
        <v>4050</v>
      </c>
      <c r="O30" s="8">
        <f t="shared" si="20"/>
        <v>45797</v>
      </c>
      <c r="P30" s="9">
        <f t="shared" si="26"/>
        <v>2393</v>
      </c>
      <c r="Q30" s="9">
        <f t="shared" si="27"/>
        <v>7179</v>
      </c>
      <c r="R30" s="9">
        <f t="shared" si="21"/>
        <v>16751</v>
      </c>
      <c r="S30" s="9">
        <f t="shared" si="25"/>
        <v>23930</v>
      </c>
      <c r="T30" s="9">
        <f t="shared" si="22"/>
        <v>9760</v>
      </c>
      <c r="U30" s="9">
        <f t="shared" si="23"/>
        <v>14170</v>
      </c>
      <c r="V30" s="9">
        <f t="shared" si="24"/>
        <v>2150</v>
      </c>
    </row>
    <row r="31" spans="1:22" x14ac:dyDescent="0.35">
      <c r="A31" s="6">
        <v>45806</v>
      </c>
      <c r="B31" s="7">
        <f>Table234534568791112151416171819202122232425262728345678910113456789101112410[[#This Row],[Profit]]-Table234534568791112151416171819202122232425262728345678910113456789101112410[[#This Row],[Mulbhag]]</f>
        <v>6428</v>
      </c>
      <c r="C31" s="43">
        <f>Table234534568791112151416171819202122232425262728345678910113456789101112410[[#This Row],[Profit]]/3</f>
        <v>3214</v>
      </c>
      <c r="D31" s="7">
        <f t="shared" si="0"/>
        <v>9642</v>
      </c>
      <c r="E31" s="7">
        <f t="shared" si="1"/>
        <v>22498</v>
      </c>
      <c r="F31" s="7">
        <f t="shared" si="2"/>
        <v>32140</v>
      </c>
      <c r="G31" s="7">
        <v>1730</v>
      </c>
      <c r="H31" s="7">
        <f>20560+3000+6850</f>
        <v>30410</v>
      </c>
      <c r="I31" s="7">
        <f>IFERROR(VLOOKUP(Table234534568791112151416171819202122232425262728345678910113456789101112410[[#This Row],[Date]],'May Expense'!H29:K278,3,0),0)</f>
        <v>4310</v>
      </c>
      <c r="J31" s="7">
        <f>IFERROR(VLOOKUP(Table234534568791112151416171819202122232425262728345678910113456789101112410[[#This Row],[Date]],'May Expense'!H29:K278,4,0),0)</f>
        <v>0</v>
      </c>
      <c r="K31" s="7">
        <f>Table234534568791112151416171819202122232425262728345678910113456789101112410[[#This Row],[Account Transfer]]-Table234534568791112151416171819202122232425262728345678910113456789101112410[[#This Row],[Expense Online]]</f>
        <v>30410</v>
      </c>
      <c r="L31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-12222</v>
      </c>
      <c r="M31" s="7">
        <f>Table234534568791112151416171819202122232425262728345678910113456789101112410[[#This Row],[Cash]]-Table234534568791112151416171819202122232425262728345678910113456789101112410[[#This Row],[Expense]]</f>
        <v>-2580</v>
      </c>
      <c r="N31" s="45"/>
      <c r="O31" s="10">
        <f t="shared" si="20"/>
        <v>45798</v>
      </c>
      <c r="P31" s="11">
        <f t="shared" si="26"/>
        <v>2401</v>
      </c>
      <c r="Q31" s="11">
        <f t="shared" si="27"/>
        <v>7203</v>
      </c>
      <c r="R31" s="11">
        <f t="shared" si="21"/>
        <v>16807</v>
      </c>
      <c r="S31" s="11">
        <f t="shared" si="25"/>
        <v>24010</v>
      </c>
      <c r="T31" s="11">
        <f t="shared" si="22"/>
        <v>17810</v>
      </c>
      <c r="U31" s="11">
        <f t="shared" si="23"/>
        <v>6200</v>
      </c>
      <c r="V31" s="11">
        <f t="shared" si="24"/>
        <v>3880</v>
      </c>
    </row>
    <row r="32" spans="1:22" x14ac:dyDescent="0.35">
      <c r="A32" s="6">
        <v>45807</v>
      </c>
      <c r="B32" s="7">
        <f>Table234534568791112151416171819202122232425262728345678910113456789101112410[[#This Row],[Profit]]-Table234534568791112151416171819202122232425262728345678910113456789101112410[[#This Row],[Mulbhag]]</f>
        <v>3033.5999999999995</v>
      </c>
      <c r="C32" s="43">
        <f>Table234534568791112151416171819202122232425262728345678910113456789101112410[[#This Row],[Profit]]/3</f>
        <v>1516.8</v>
      </c>
      <c r="D32" s="7">
        <f t="shared" si="0"/>
        <v>4550.3999999999996</v>
      </c>
      <c r="E32" s="7">
        <f t="shared" si="1"/>
        <v>10617.6</v>
      </c>
      <c r="F32" s="7">
        <f t="shared" si="2"/>
        <v>15168</v>
      </c>
      <c r="G32" s="7">
        <v>3333</v>
      </c>
      <c r="H32" s="7">
        <f>8935+2900</f>
        <v>11835</v>
      </c>
      <c r="I32" s="7">
        <f>IFERROR(VLOOKUP(Table234534568791112151416171819202122232425262728345678910113456789101112410[[#This Row],[Date]],'May Expense'!H30:K279,3,0),0)</f>
        <v>2580</v>
      </c>
      <c r="J32" s="7">
        <f>IFERROR(VLOOKUP(Table234534568791112151416171819202122232425262728345678910113456789101112410[[#This Row],[Date]],'May Expense'!H30:K279,4,0),0)</f>
        <v>0</v>
      </c>
      <c r="K32" s="7">
        <f>Table234534568791112151416171819202122232425262728345678910113456789101112410[[#This Row],[Account Transfer]]-Table234534568791112151416171819202122232425262728345678910113456789101112410[[#This Row],[Expense Online]]</f>
        <v>11835</v>
      </c>
      <c r="L32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-3797.3999999999996</v>
      </c>
      <c r="M32" s="7">
        <f>Table234534568791112151416171819202122232425262728345678910113456789101112410[[#This Row],[Cash]]-Table234534568791112151416171819202122232425262728345678910113456789101112410[[#This Row],[Expense]]</f>
        <v>753</v>
      </c>
      <c r="N32" s="45"/>
      <c r="O32" s="12" t="s">
        <v>3</v>
      </c>
      <c r="P32" s="12">
        <f>SUM(P25:P31)</f>
        <v>12910.9</v>
      </c>
      <c r="Q32" s="11">
        <f t="shared" ref="Q32:V32" si="28">SUM(Q25:Q31)</f>
        <v>38732.699999999997</v>
      </c>
      <c r="R32" s="11">
        <f t="shared" si="28"/>
        <v>90376.3</v>
      </c>
      <c r="S32" s="11">
        <f t="shared" si="28"/>
        <v>129109</v>
      </c>
      <c r="T32" s="11">
        <f t="shared" si="28"/>
        <v>55910</v>
      </c>
      <c r="U32" s="11">
        <f t="shared" si="28"/>
        <v>73199</v>
      </c>
      <c r="V32" s="11">
        <f t="shared" si="28"/>
        <v>26485</v>
      </c>
    </row>
    <row r="33" spans="1:22" x14ac:dyDescent="0.35">
      <c r="A33" s="6">
        <v>45808</v>
      </c>
      <c r="B33" s="7">
        <f>Table234534568791112151416171819202122232425262728345678910113456789101112410[[#This Row],[Profit]]-Table234534568791112151416171819202122232425262728345678910113456789101112410[[#This Row],[Mulbhag]]</f>
        <v>2178</v>
      </c>
      <c r="C33" s="43">
        <f>Table234534568791112151416171819202122232425262728345678910113456789101112410[[#This Row],[Profit]]/3</f>
        <v>1089</v>
      </c>
      <c r="D33" s="7">
        <f t="shared" si="0"/>
        <v>3267</v>
      </c>
      <c r="E33" s="7">
        <f t="shared" si="1"/>
        <v>7623</v>
      </c>
      <c r="F33" s="7">
        <f t="shared" si="2"/>
        <v>10890</v>
      </c>
      <c r="G33" s="7">
        <v>3250</v>
      </c>
      <c r="H33" s="7">
        <v>7640</v>
      </c>
      <c r="I33" s="7">
        <f>IFERROR(VLOOKUP(Table234534568791112151416171819202122232425262728345678910113456789101112410[[#This Row],[Date]],'May Expense'!H31:K280,3,0),0)</f>
        <v>1940</v>
      </c>
      <c r="J33" s="7">
        <f>IFERROR(VLOOKUP(Table234534568791112151416171819202122232425262728345678910113456789101112410[[#This Row],[Date]],'May Expense'!H31:K280,4,0),0)</f>
        <v>230</v>
      </c>
      <c r="K33" s="7">
        <f>Table234534568791112151416171819202122232425262728345678910113456789101112410[[#This Row],[Account Transfer]]-Table234534568791112151416171819202122232425262728345678910113456789101112410[[#This Row],[Expense Online]]</f>
        <v>7410</v>
      </c>
      <c r="L33" s="7">
        <f>Table234534568791112151416171819202122232425262728345678910113456789101112410[[#This Row],[Cash]]-Table234534568791112151416171819202122232425262728345678910113456789101112410[[#This Row],[Mulbhag]]-Table234534568791112151416171819202122232425262728345678910113456789101112410[[#This Row],[Actual Profit]]-Table234534568791112151416171819202122232425262728345678910113456789101112410[[#This Row],[Expense]]</f>
        <v>-1957</v>
      </c>
      <c r="M33" s="7">
        <f>Table234534568791112151416171819202122232425262728345678910113456789101112410[[#This Row],[Cash]]-Table234534568791112151416171819202122232425262728345678910113456789101112410[[#This Row],[Expense]]</f>
        <v>1310</v>
      </c>
      <c r="N33" s="47"/>
      <c r="O33" s="12" t="s">
        <v>7</v>
      </c>
      <c r="P33" s="9"/>
      <c r="Q33" s="9">
        <f>Q32/3</f>
        <v>12910.9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SUBTOTAL(109,Table234534568791112151416171819202122232425262728345678910113456789101112410[Actual Profit])</f>
        <v>108845.40000000001</v>
      </c>
      <c r="C34" s="16">
        <f>SUBTOTAL(109,Table234534568791112151416171819202122232425262728345678910113456789101112410[Mulbhag])</f>
        <v>54422.700000000004</v>
      </c>
      <c r="D34" s="16">
        <f>SUBTOTAL(109,Table234534568791112151416171819202122232425262728345678910113456789101112410[Profit])</f>
        <v>163268.1</v>
      </c>
      <c r="E34" s="16">
        <f>SUBTOTAL(109,Table234534568791112151416171819202122232425262728345678910113456789101112410[Profit])</f>
        <v>163268.1</v>
      </c>
      <c r="F34" s="16">
        <f>SUM(F3:F33)</f>
        <v>544227</v>
      </c>
      <c r="G34" s="16">
        <f>SUBTOTAL(109,Table234534568791112151416171819202122232425262728345678910113456789101112410[Profit])</f>
        <v>163268.1</v>
      </c>
      <c r="H34" s="16">
        <f>SUBTOTAL(109,Table234534568791112151416171819202122232425262728345678910113456789101112410[Profit])</f>
        <v>163268.1</v>
      </c>
      <c r="I34" s="16">
        <f>SUM(I5:I33)</f>
        <v>149880</v>
      </c>
      <c r="J34" s="16">
        <f>SUBTOTAL(109,Table234534568791112151416171819202122232425262728345678910113456789101112410[Expense Online])</f>
        <v>321603</v>
      </c>
      <c r="K34" s="16">
        <f>SUBTOTAL(109,Table234534568791112151416171819202122232425262728345678910113456789101112410[Account Balance])</f>
        <v>39469</v>
      </c>
      <c r="L34" s="16">
        <f>SUM(L5:L33)</f>
        <v>-137112.79999999999</v>
      </c>
      <c r="M34" s="16">
        <f>SUBTOTAL(109,Table234534568791112151416171819202122232425262728345678910113456789101112410[Actual Balance])</f>
        <v>32555</v>
      </c>
    </row>
    <row r="35" spans="1:22" x14ac:dyDescent="0.35">
      <c r="A35" s="17"/>
      <c r="B35" s="18"/>
      <c r="C35" s="18"/>
      <c r="D35" s="18">
        <f>D34/3</f>
        <v>54422.700000000004</v>
      </c>
      <c r="E35" s="18"/>
      <c r="F35" s="18"/>
      <c r="G35" s="18">
        <f>F34*0.42</f>
        <v>228575.34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</v>
      </c>
      <c r="E36" s="18"/>
      <c r="F36" s="18"/>
      <c r="G36" s="18">
        <f>G35/3</f>
        <v>76191.78</v>
      </c>
      <c r="H36" s="18"/>
      <c r="I36" s="18"/>
      <c r="J36" s="18"/>
      <c r="K36" s="18"/>
      <c r="L36" s="18"/>
      <c r="M36" s="18"/>
      <c r="O36" s="8">
        <f t="shared" ref="O36:O40" si="29">A24</f>
        <v>45799</v>
      </c>
      <c r="P36" s="11">
        <f>Q36/3</f>
        <v>660</v>
      </c>
      <c r="Q36" s="11">
        <f>S36*0.3</f>
        <v>1980</v>
      </c>
      <c r="R36" s="11">
        <f t="shared" ref="R36:R41" si="30">S36-Q36</f>
        <v>4620</v>
      </c>
      <c r="S36" s="11">
        <f>T36+U36</f>
        <v>6600</v>
      </c>
      <c r="T36" s="11">
        <f t="shared" ref="T36:T41" si="31">VLOOKUP(O36,$A$1:$J$34,7,0)</f>
        <v>3200</v>
      </c>
      <c r="U36" s="11">
        <f t="shared" ref="U36:U41" si="32">VLOOKUP(O36,$A$1:$J$34,8,0)</f>
        <v>3400</v>
      </c>
      <c r="V36" s="11">
        <f t="shared" ref="V36:V41" si="33">VLOOKUP(O36,$A$1:$J$34,9,0)</f>
        <v>51280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45800</v>
      </c>
      <c r="P37" s="9">
        <f>Q37/3</f>
        <v>1300</v>
      </c>
      <c r="Q37" s="9">
        <f>S37*0.3</f>
        <v>3900</v>
      </c>
      <c r="R37" s="9">
        <f t="shared" si="30"/>
        <v>9100</v>
      </c>
      <c r="S37" s="9">
        <f t="shared" ref="S37:S41" si="34">T37+U37</f>
        <v>13000</v>
      </c>
      <c r="T37" s="9">
        <f t="shared" si="31"/>
        <v>5700</v>
      </c>
      <c r="U37" s="9">
        <f t="shared" si="32"/>
        <v>7300</v>
      </c>
      <c r="V37" s="9">
        <f t="shared" si="33"/>
        <v>2120</v>
      </c>
    </row>
    <row r="38" spans="1:22" x14ac:dyDescent="0.35">
      <c r="A38" s="20" t="str">
        <f>CONCATENATE(TEXT(O3,"DD-MMM-YYY")," to ",TEXT(O9,"DD-MMM-YYYY"))</f>
        <v>01-May-2025 to 07-May-2025</v>
      </c>
      <c r="B38" s="11">
        <f>D38-C38</f>
        <v>23651.200000000004</v>
      </c>
      <c r="C38" s="11">
        <f>D38/3</f>
        <v>11825.6</v>
      </c>
      <c r="D38" s="11">
        <f>Q10</f>
        <v>35476.800000000003</v>
      </c>
      <c r="E38" s="11">
        <f t="shared" ref="E38:I38" si="35">R10</f>
        <v>82779.199999999997</v>
      </c>
      <c r="F38" s="11">
        <f t="shared" si="35"/>
        <v>118256</v>
      </c>
      <c r="G38" s="11">
        <f t="shared" si="35"/>
        <v>56010</v>
      </c>
      <c r="H38" s="11">
        <f t="shared" si="35"/>
        <v>62246</v>
      </c>
      <c r="I38" s="11">
        <f t="shared" si="35"/>
        <v>17940</v>
      </c>
      <c r="J38" s="11"/>
      <c r="K38" s="11"/>
      <c r="L38" s="11"/>
      <c r="M38" s="11"/>
      <c r="O38" s="10">
        <f t="shared" si="29"/>
        <v>45801</v>
      </c>
      <c r="P38" s="11">
        <f t="shared" ref="P38:P41" si="36">Q38/3</f>
        <v>1570.5</v>
      </c>
      <c r="Q38" s="11">
        <f t="shared" ref="Q38:Q41" si="37">S38*0.3</f>
        <v>4711.5</v>
      </c>
      <c r="R38" s="11">
        <f t="shared" si="30"/>
        <v>10993.5</v>
      </c>
      <c r="S38" s="11">
        <f t="shared" si="34"/>
        <v>15705</v>
      </c>
      <c r="T38" s="11">
        <f t="shared" si="31"/>
        <v>3460</v>
      </c>
      <c r="U38" s="11">
        <f t="shared" si="32"/>
        <v>12245</v>
      </c>
      <c r="V38" s="11">
        <f t="shared" si="33"/>
        <v>3400</v>
      </c>
    </row>
    <row r="39" spans="1:22" x14ac:dyDescent="0.35">
      <c r="A39" s="20" t="str">
        <f>CONCATENATE(TEXT(O14,"DD-MMM-YYY")," to ",TEXT(O20,"DD-MMM-YYYY"))</f>
        <v>08-May-2025 to 14-May-2025</v>
      </c>
      <c r="B39" s="9">
        <f t="shared" ref="B39:B42" si="38">D39-C39</f>
        <v>25350.799999999996</v>
      </c>
      <c r="C39" s="9">
        <f t="shared" ref="C39:C42" si="39">D39/3</f>
        <v>12675.4</v>
      </c>
      <c r="D39" s="9">
        <f>Q21</f>
        <v>38026.199999999997</v>
      </c>
      <c r="E39" s="9">
        <f t="shared" ref="E39:I39" si="40">R21</f>
        <v>88727.8</v>
      </c>
      <c r="F39" s="9">
        <f t="shared" si="40"/>
        <v>126754</v>
      </c>
      <c r="G39" s="9">
        <f t="shared" si="40"/>
        <v>41642</v>
      </c>
      <c r="H39" s="9">
        <f t="shared" si="40"/>
        <v>85112</v>
      </c>
      <c r="I39" s="9">
        <f t="shared" si="40"/>
        <v>27510</v>
      </c>
      <c r="J39" s="9"/>
      <c r="K39" s="9"/>
      <c r="L39" s="9"/>
      <c r="M39" s="9"/>
      <c r="O39" s="8">
        <f t="shared" si="29"/>
        <v>45802</v>
      </c>
      <c r="P39" s="9">
        <f t="shared" si="36"/>
        <v>1481</v>
      </c>
      <c r="Q39" s="9">
        <f t="shared" si="37"/>
        <v>4443</v>
      </c>
      <c r="R39" s="9">
        <f t="shared" si="30"/>
        <v>10367</v>
      </c>
      <c r="S39" s="9">
        <f t="shared" si="34"/>
        <v>14810</v>
      </c>
      <c r="T39" s="9">
        <f t="shared" si="31"/>
        <v>1000</v>
      </c>
      <c r="U39" s="9">
        <f t="shared" si="32"/>
        <v>13810</v>
      </c>
      <c r="V39" s="9">
        <f t="shared" si="33"/>
        <v>600</v>
      </c>
    </row>
    <row r="40" spans="1:22" x14ac:dyDescent="0.35">
      <c r="A40" s="20" t="str">
        <f>CONCATENATE(TEXT(O25,"DD-MMM-YYY")," to ",TEXT(O31,"DD-MMM-YYYY"))</f>
        <v>15-May-2025 to 21-May-2025</v>
      </c>
      <c r="B40" s="11">
        <f t="shared" si="38"/>
        <v>25821.799999999996</v>
      </c>
      <c r="C40" s="11">
        <f t="shared" si="39"/>
        <v>12910.9</v>
      </c>
      <c r="D40" s="11">
        <f>Q32</f>
        <v>38732.699999999997</v>
      </c>
      <c r="E40" s="11">
        <f t="shared" ref="E40:I40" si="41">R32</f>
        <v>90376.3</v>
      </c>
      <c r="F40" s="11">
        <f t="shared" si="41"/>
        <v>129109</v>
      </c>
      <c r="G40" s="11">
        <f t="shared" si="41"/>
        <v>55910</v>
      </c>
      <c r="H40" s="11">
        <f t="shared" si="41"/>
        <v>73199</v>
      </c>
      <c r="I40" s="11">
        <f t="shared" si="41"/>
        <v>26485</v>
      </c>
      <c r="J40" s="11"/>
      <c r="K40" s="11"/>
      <c r="L40" s="11"/>
      <c r="M40" s="11"/>
      <c r="O40" s="10">
        <f t="shared" si="29"/>
        <v>45803</v>
      </c>
      <c r="P40" s="11">
        <f t="shared" si="36"/>
        <v>1594</v>
      </c>
      <c r="Q40" s="11">
        <f t="shared" si="37"/>
        <v>4782</v>
      </c>
      <c r="R40" s="11">
        <f t="shared" si="30"/>
        <v>11158</v>
      </c>
      <c r="S40" s="11">
        <f t="shared" si="34"/>
        <v>15940</v>
      </c>
      <c r="T40" s="11">
        <f t="shared" si="31"/>
        <v>820</v>
      </c>
      <c r="U40" s="11">
        <f t="shared" si="32"/>
        <v>15120</v>
      </c>
      <c r="V40" s="11">
        <f t="shared" si="33"/>
        <v>7720</v>
      </c>
    </row>
    <row r="41" spans="1:22" x14ac:dyDescent="0.35">
      <c r="A41" s="20" t="str">
        <f>CONCATENATE(TEXT(O36,"DD-MMM-YYY")," to ",TEXT(O41,"DD-MMM-YYYY"))</f>
        <v>22-May-2025 to 31-May-2025</v>
      </c>
      <c r="B41" s="9">
        <f t="shared" si="38"/>
        <v>15389</v>
      </c>
      <c r="C41" s="9">
        <f t="shared" si="39"/>
        <v>7694.5</v>
      </c>
      <c r="D41" s="9">
        <f>Q42</f>
        <v>23083.5</v>
      </c>
      <c r="E41" s="9">
        <f t="shared" ref="E41:I41" si="42">R42</f>
        <v>53861.5</v>
      </c>
      <c r="F41" s="9">
        <f t="shared" si="42"/>
        <v>76945</v>
      </c>
      <c r="G41" s="9">
        <f t="shared" si="42"/>
        <v>17430</v>
      </c>
      <c r="H41" s="9">
        <f t="shared" si="42"/>
        <v>59515</v>
      </c>
      <c r="I41" s="9">
        <f t="shared" si="42"/>
        <v>67060</v>
      </c>
      <c r="J41" s="9"/>
      <c r="K41" s="9"/>
      <c r="L41" s="9"/>
      <c r="M41" s="9"/>
      <c r="O41" s="8">
        <f>A33</f>
        <v>45808</v>
      </c>
      <c r="P41" s="9">
        <f t="shared" si="36"/>
        <v>1089</v>
      </c>
      <c r="Q41" s="9">
        <f t="shared" si="37"/>
        <v>3267</v>
      </c>
      <c r="R41" s="9">
        <f t="shared" si="30"/>
        <v>7623</v>
      </c>
      <c r="S41" s="9">
        <f t="shared" si="34"/>
        <v>10890</v>
      </c>
      <c r="T41" s="9">
        <f t="shared" si="31"/>
        <v>3250</v>
      </c>
      <c r="U41" s="9">
        <f t="shared" si="32"/>
        <v>7640</v>
      </c>
      <c r="V41" s="9">
        <f t="shared" si="33"/>
        <v>1940</v>
      </c>
    </row>
    <row r="42" spans="1:22" x14ac:dyDescent="0.35">
      <c r="A42" s="20" t="str">
        <f>CONCATENATE(TEXT(O3,"DD-MMM-YYY")," to ",TEXT(O41,"DD-MMM-YYYY"))</f>
        <v>01-May-2025 to 31-May-2025</v>
      </c>
      <c r="B42" s="9">
        <f t="shared" si="38"/>
        <v>90212.800000000017</v>
      </c>
      <c r="C42" s="9">
        <f t="shared" si="39"/>
        <v>45106.400000000001</v>
      </c>
      <c r="D42" s="9">
        <f t="shared" ref="D42:I42" si="43">SUM(D38:D41)</f>
        <v>135319.20000000001</v>
      </c>
      <c r="E42" s="9">
        <f t="shared" si="43"/>
        <v>315744.8</v>
      </c>
      <c r="F42" s="9">
        <f t="shared" si="43"/>
        <v>451064</v>
      </c>
      <c r="G42" s="9">
        <f t="shared" si="43"/>
        <v>170992</v>
      </c>
      <c r="H42" s="9">
        <f t="shared" si="43"/>
        <v>280072</v>
      </c>
      <c r="I42" s="9">
        <f t="shared" si="43"/>
        <v>138995</v>
      </c>
      <c r="J42" s="9"/>
      <c r="K42" s="9"/>
      <c r="L42" s="9"/>
      <c r="M42" s="9"/>
      <c r="O42" s="12" t="s">
        <v>3</v>
      </c>
      <c r="P42" s="12">
        <f t="shared" ref="P42:V42" si="44">SUM(P36:P41)</f>
        <v>7694.5</v>
      </c>
      <c r="Q42" s="11">
        <f t="shared" si="44"/>
        <v>23083.5</v>
      </c>
      <c r="R42" s="9">
        <f t="shared" si="44"/>
        <v>53861.5</v>
      </c>
      <c r="S42" s="9">
        <f t="shared" si="44"/>
        <v>76945</v>
      </c>
      <c r="T42" s="9">
        <f t="shared" si="44"/>
        <v>17430</v>
      </c>
      <c r="U42" s="9">
        <f t="shared" si="44"/>
        <v>59515</v>
      </c>
      <c r="V42" s="9">
        <f t="shared" si="44"/>
        <v>67060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7694.5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45782</v>
      </c>
      <c r="P47" s="9"/>
      <c r="Q47" s="9">
        <f t="shared" ref="Q47:V47" si="45">SUM(D8:D33)</f>
        <v>136932.29999999999</v>
      </c>
      <c r="R47" s="9">
        <f t="shared" si="45"/>
        <v>319508.69999999995</v>
      </c>
      <c r="S47" s="9">
        <f t="shared" si="45"/>
        <v>456441</v>
      </c>
      <c r="T47" s="9">
        <f t="shared" si="45"/>
        <v>130995</v>
      </c>
      <c r="U47" s="9">
        <f t="shared" si="45"/>
        <v>325446</v>
      </c>
      <c r="V47" s="9">
        <f t="shared" si="45"/>
        <v>135850</v>
      </c>
    </row>
    <row r="48" spans="1:22" x14ac:dyDescent="0.35">
      <c r="O48" s="12" t="s">
        <v>7</v>
      </c>
      <c r="P48" s="11"/>
      <c r="Q48" s="11">
        <f>Q47/3</f>
        <v>45644.1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A128-812A-43C3-A83E-A5AA050575D0}">
  <dimension ref="A1:K223"/>
  <sheetViews>
    <sheetView topLeftCell="A146" zoomScale="104" workbookViewId="0">
      <selection activeCell="A159" sqref="A159"/>
    </sheetView>
  </sheetViews>
  <sheetFormatPr defaultRowHeight="14.5" x14ac:dyDescent="0.35"/>
  <cols>
    <col min="1" max="1" width="23.72656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2.1796875" style="26" bestFit="1" customWidth="1"/>
    <col min="9" max="9" width="11.08984375" bestFit="1" customWidth="1"/>
    <col min="10" max="10" width="11.1796875" bestFit="1" customWidth="1"/>
    <col min="11" max="11" width="21.179687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65" t="s">
        <v>193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45778</v>
      </c>
      <c r="B2" s="23"/>
      <c r="C2" s="23">
        <v>1750</v>
      </c>
      <c r="D2" s="23">
        <f>Table2345345687911121514161718192021222324252627283456789101134567891011123511[[#This Row],[Cash]]+Table2345345687911121514161718192021222324252627283456789101134567891011123511[[#This Row],[Account Transfer]]</f>
        <v>1750</v>
      </c>
      <c r="E2" s="22" t="s">
        <v>196</v>
      </c>
      <c r="F2" s="36" t="s">
        <v>195</v>
      </c>
      <c r="H2" s="26" t="s">
        <v>72</v>
      </c>
      <c r="I2">
        <v>0</v>
      </c>
    </row>
    <row r="3" spans="1:11" x14ac:dyDescent="0.35">
      <c r="A3" s="35">
        <v>45778</v>
      </c>
      <c r="B3" s="23"/>
      <c r="C3" s="23">
        <v>7160</v>
      </c>
      <c r="D3" s="23">
        <f>Table2345345687911121514161718192021222324252627283456789101134567891011123511[[#This Row],[Cash]]+Table2345345687911121514161718192021222324252627283456789101134567891011123511[[#This Row],[Account Transfer]]</f>
        <v>7160</v>
      </c>
      <c r="E3" s="22" t="s">
        <v>194</v>
      </c>
      <c r="F3" s="36" t="s">
        <v>195</v>
      </c>
      <c r="H3" s="26">
        <v>45778</v>
      </c>
      <c r="I3" s="27">
        <v>13370</v>
      </c>
      <c r="J3" s="27">
        <v>490</v>
      </c>
      <c r="K3" s="27">
        <v>13230</v>
      </c>
    </row>
    <row r="4" spans="1:11" x14ac:dyDescent="0.35">
      <c r="A4" s="35">
        <v>45778</v>
      </c>
      <c r="B4" s="23"/>
      <c r="C4" s="23">
        <v>890</v>
      </c>
      <c r="D4" s="23">
        <f>Table2345345687911121514161718192021222324252627283456789101134567891011123511[[#This Row],[Cash]]+Table2345345687911121514161718192021222324252627283456789101134567891011123511[[#This Row],[Account Transfer]]</f>
        <v>890</v>
      </c>
      <c r="E4" s="22" t="s">
        <v>197</v>
      </c>
      <c r="F4" s="36" t="s">
        <v>195</v>
      </c>
      <c r="H4" s="26">
        <v>45779</v>
      </c>
      <c r="I4" s="27">
        <v>1880</v>
      </c>
      <c r="J4" s="27">
        <v>230</v>
      </c>
      <c r="K4" s="27">
        <v>1650</v>
      </c>
    </row>
    <row r="5" spans="1:11" x14ac:dyDescent="0.35">
      <c r="A5" s="35">
        <v>45778</v>
      </c>
      <c r="B5" s="23"/>
      <c r="C5" s="23">
        <v>1000</v>
      </c>
      <c r="D5" s="23">
        <f>Table2345345687911121514161718192021222324252627283456789101134567891011123511[[#This Row],[Cash]]+Table2345345687911121514161718192021222324252627283456789101134567891011123511[[#This Row],[Account Transfer]]</f>
        <v>1000</v>
      </c>
      <c r="E5" s="22" t="s">
        <v>198</v>
      </c>
      <c r="F5" s="36" t="s">
        <v>195</v>
      </c>
      <c r="H5" s="26">
        <v>45780</v>
      </c>
      <c r="I5" s="27">
        <v>5000</v>
      </c>
      <c r="J5" s="27">
        <v>5000</v>
      </c>
      <c r="K5" s="27"/>
    </row>
    <row r="6" spans="1:11" x14ac:dyDescent="0.35">
      <c r="A6" s="35">
        <v>45778</v>
      </c>
      <c r="B6" s="23">
        <v>400</v>
      </c>
      <c r="C6" s="23"/>
      <c r="D6" s="23">
        <f>Table23453456879111215141617181920212223242526272834567891011345678910111235[[#This Row],[Cash]]+Table23453456879111215141617181920212223242526272834567891011345678910111235[[#This Row],[Account Transfer]]</f>
        <v>350</v>
      </c>
      <c r="E6" s="22" t="s">
        <v>204</v>
      </c>
      <c r="F6" s="36" t="s">
        <v>48</v>
      </c>
      <c r="H6" s="26">
        <v>45781</v>
      </c>
      <c r="I6" s="27">
        <v>6770</v>
      </c>
      <c r="J6" s="27">
        <v>6570</v>
      </c>
      <c r="K6" s="27">
        <v>200</v>
      </c>
    </row>
    <row r="7" spans="1:11" x14ac:dyDescent="0.35">
      <c r="A7" s="35">
        <v>45778</v>
      </c>
      <c r="B7" s="23">
        <v>90</v>
      </c>
      <c r="C7" s="23"/>
      <c r="D7" s="23">
        <f>Table23453456879111215141617181920212223242526272834567891011345678910111235[[#This Row],[Cash]]+Table23453456879111215141617181920212223242526272834567891011345678910111235[[#This Row],[Account Transfer]]</f>
        <v>1100</v>
      </c>
      <c r="E7" s="22" t="s">
        <v>26</v>
      </c>
      <c r="F7" s="36" t="s">
        <v>48</v>
      </c>
      <c r="H7" s="26">
        <v>45782</v>
      </c>
      <c r="I7" s="27">
        <v>2460</v>
      </c>
      <c r="J7" s="27">
        <v>2460</v>
      </c>
      <c r="K7" s="27"/>
    </row>
    <row r="8" spans="1:11" x14ac:dyDescent="0.35">
      <c r="A8" s="35">
        <v>45778</v>
      </c>
      <c r="B8" s="23"/>
      <c r="C8" s="23">
        <v>430</v>
      </c>
      <c r="D8" s="23">
        <f>Table23453456879111215141617181920212223242526272834567891011345678910111235[[#This Row],[Cash]]+Table23453456879111215141617181920212223242526272834567891011345678910111235[[#This Row],[Account Transfer]]</f>
        <v>1000</v>
      </c>
      <c r="E8" s="22" t="s">
        <v>73</v>
      </c>
      <c r="F8" s="36" t="s">
        <v>48</v>
      </c>
      <c r="H8" s="26">
        <v>45783</v>
      </c>
      <c r="I8" s="27">
        <v>420</v>
      </c>
      <c r="J8" s="27">
        <v>420</v>
      </c>
      <c r="K8" s="27"/>
    </row>
    <row r="9" spans="1:11" x14ac:dyDescent="0.35">
      <c r="A9" s="35">
        <v>45778</v>
      </c>
      <c r="B9" s="23"/>
      <c r="C9" s="23">
        <v>2000</v>
      </c>
      <c r="D9" s="23">
        <f>Table23453456879111215141617181920212223242526272834567891011345678910111235[[#This Row],[Cash]]+Table23453456879111215141617181920212223242526272834567891011345678910111235[[#This Row],[Account Transfer]]</f>
        <v>120</v>
      </c>
      <c r="E9" s="22" t="s">
        <v>184</v>
      </c>
      <c r="F9" s="36" t="s">
        <v>51</v>
      </c>
      <c r="H9" s="26">
        <v>45784</v>
      </c>
      <c r="I9" s="27">
        <v>2770</v>
      </c>
      <c r="J9" s="27">
        <v>2770</v>
      </c>
      <c r="K9" s="27"/>
    </row>
    <row r="10" spans="1:11" x14ac:dyDescent="0.35">
      <c r="A10" s="35">
        <v>45779</v>
      </c>
      <c r="B10" s="23">
        <v>110</v>
      </c>
      <c r="C10" s="23"/>
      <c r="D10" s="23">
        <f>Table2345345687911121514161718192021222324252627283456789101134567891011123511[[#This Row],[Cash]]+Table2345345687911121514161718192021222324252627283456789101134567891011123511[[#This Row],[Account Transfer]]</f>
        <v>110</v>
      </c>
      <c r="E10" s="22" t="s">
        <v>203</v>
      </c>
      <c r="F10" s="36" t="s">
        <v>48</v>
      </c>
      <c r="H10" s="26">
        <v>45785</v>
      </c>
      <c r="I10" s="27">
        <v>1170</v>
      </c>
      <c r="J10" s="27">
        <v>1170</v>
      </c>
      <c r="K10" s="27"/>
    </row>
    <row r="11" spans="1:11" x14ac:dyDescent="0.35">
      <c r="A11" s="35">
        <v>45779</v>
      </c>
      <c r="B11" s="23">
        <v>120</v>
      </c>
      <c r="C11" s="23"/>
      <c r="D11" s="23">
        <f>Table2345345687911121514161718192021222324252627283456789101134567891011123511[[#This Row],[Cash]]+Table2345345687911121514161718192021222324252627283456789101134567891011123511[[#This Row],[Account Transfer]]</f>
        <v>120</v>
      </c>
      <c r="E11" s="22" t="s">
        <v>26</v>
      </c>
      <c r="F11" s="36" t="s">
        <v>48</v>
      </c>
      <c r="H11" s="26">
        <v>45786</v>
      </c>
      <c r="I11" s="27">
        <v>48363</v>
      </c>
      <c r="J11" s="27">
        <v>8120</v>
      </c>
      <c r="K11" s="27">
        <v>40243</v>
      </c>
    </row>
    <row r="12" spans="1:11" x14ac:dyDescent="0.35">
      <c r="A12" s="35">
        <v>45779</v>
      </c>
      <c r="B12" s="23"/>
      <c r="C12" s="23">
        <v>1650</v>
      </c>
      <c r="D12" s="23">
        <f>Table2345345687911121514161718192021222324252627283456789101134567891011123511[[#This Row],[Cash]]+Table2345345687911121514161718192021222324252627283456789101134567891011123511[[#This Row],[Account Transfer]]</f>
        <v>1650</v>
      </c>
      <c r="E12" s="22" t="s">
        <v>113</v>
      </c>
      <c r="F12" s="36" t="s">
        <v>48</v>
      </c>
      <c r="H12" s="26">
        <v>45787</v>
      </c>
      <c r="I12">
        <v>5680</v>
      </c>
      <c r="J12">
        <v>2680</v>
      </c>
      <c r="K12">
        <v>3000</v>
      </c>
    </row>
    <row r="13" spans="1:11" x14ac:dyDescent="0.35">
      <c r="A13" s="35">
        <v>45780</v>
      </c>
      <c r="B13" s="23">
        <v>1700</v>
      </c>
      <c r="C13" s="23"/>
      <c r="D13" s="23">
        <f>Table2345345687911121514161718192021222324252627283456789101134567891011123511[[#This Row],[Cash]]+Table2345345687911121514161718192021222324252627283456789101134567891011123511[[#This Row],[Account Transfer]]</f>
        <v>1700</v>
      </c>
      <c r="E13" s="22" t="s">
        <v>204</v>
      </c>
      <c r="F13" s="36" t="s">
        <v>48</v>
      </c>
      <c r="H13" s="26">
        <v>45788</v>
      </c>
      <c r="I13">
        <v>5660</v>
      </c>
      <c r="J13">
        <v>5660</v>
      </c>
    </row>
    <row r="14" spans="1:11" x14ac:dyDescent="0.35">
      <c r="A14" s="35">
        <v>45780</v>
      </c>
      <c r="B14" s="23">
        <v>150</v>
      </c>
      <c r="C14" s="23"/>
      <c r="D14" s="23">
        <f>Table2345345687911121514161718192021222324252627283456789101134567891011123511[[#This Row],[Cash]]+Table2345345687911121514161718192021222324252627283456789101134567891011123511[[#This Row],[Account Transfer]]</f>
        <v>150</v>
      </c>
      <c r="E14" s="22" t="s">
        <v>26</v>
      </c>
      <c r="F14" s="36" t="s">
        <v>48</v>
      </c>
      <c r="H14" s="26">
        <v>45789</v>
      </c>
      <c r="I14">
        <v>33070</v>
      </c>
      <c r="J14">
        <v>8070</v>
      </c>
      <c r="K14">
        <v>25000</v>
      </c>
    </row>
    <row r="15" spans="1:11" x14ac:dyDescent="0.35">
      <c r="A15" s="35">
        <v>45780</v>
      </c>
      <c r="B15" s="23">
        <v>150</v>
      </c>
      <c r="C15" s="23"/>
      <c r="D15" s="23">
        <f>Table2345345687911121514161718192021222324252627283456789101134567891011123511[[#This Row],[Cash]]+Table2345345687911121514161718192021222324252627283456789101134567891011123511[[#This Row],[Account Transfer]]</f>
        <v>150</v>
      </c>
      <c r="E15" s="22" t="s">
        <v>108</v>
      </c>
      <c r="F15" s="36" t="s">
        <v>46</v>
      </c>
      <c r="H15" s="26">
        <v>45790</v>
      </c>
      <c r="I15">
        <v>13510</v>
      </c>
      <c r="J15">
        <v>120</v>
      </c>
      <c r="K15">
        <v>13390</v>
      </c>
    </row>
    <row r="16" spans="1:11" x14ac:dyDescent="0.35">
      <c r="A16" s="35">
        <v>45780</v>
      </c>
      <c r="B16" s="23">
        <v>3000</v>
      </c>
      <c r="C16" s="23"/>
      <c r="D16" s="23">
        <f>Table2345345687911121514161718192021222324252627283456789101134567891011123511[[#This Row],[Cash]]+Table2345345687911121514161718192021222324252627283456789101134567891011123511[[#This Row],[Account Transfer]]</f>
        <v>3000</v>
      </c>
      <c r="E16" s="22" t="s">
        <v>69</v>
      </c>
      <c r="F16" s="36" t="s">
        <v>48</v>
      </c>
      <c r="H16" s="26">
        <v>45791</v>
      </c>
      <c r="I16">
        <v>11690</v>
      </c>
      <c r="J16">
        <v>1690</v>
      </c>
      <c r="K16">
        <v>10000</v>
      </c>
    </row>
    <row r="17" spans="1:11" x14ac:dyDescent="0.35">
      <c r="A17" s="35">
        <v>45781</v>
      </c>
      <c r="B17" s="23">
        <v>4950</v>
      </c>
      <c r="C17" s="23"/>
      <c r="D17" s="23">
        <f>Table2345345687911121514161718192021222324252627283456789101134567891011123511[[#This Row],[Cash]]+Table2345345687911121514161718192021222324252627283456789101134567891011123511[[#This Row],[Account Transfer]]</f>
        <v>4950</v>
      </c>
      <c r="E17" s="22" t="s">
        <v>207</v>
      </c>
      <c r="F17" s="36" t="s">
        <v>45</v>
      </c>
      <c r="H17" s="26">
        <v>45792</v>
      </c>
      <c r="I17">
        <v>32650</v>
      </c>
      <c r="J17">
        <v>9130</v>
      </c>
      <c r="K17">
        <v>23520</v>
      </c>
    </row>
    <row r="18" spans="1:11" x14ac:dyDescent="0.35">
      <c r="A18" s="35">
        <v>45781</v>
      </c>
      <c r="B18" s="23">
        <v>120</v>
      </c>
      <c r="C18" s="23"/>
      <c r="D18" s="23">
        <f>Table2345345687911121514161718192021222324252627283456789101134567891011123511[[#This Row],[Cash]]+Table2345345687911121514161718192021222324252627283456789101134567891011123511[[#This Row],[Account Transfer]]</f>
        <v>120</v>
      </c>
      <c r="E18" s="22" t="s">
        <v>26</v>
      </c>
      <c r="F18" s="36" t="s">
        <v>48</v>
      </c>
      <c r="H18" s="26">
        <v>45793</v>
      </c>
      <c r="I18">
        <v>6595</v>
      </c>
      <c r="J18">
        <v>5645</v>
      </c>
      <c r="K18">
        <v>950</v>
      </c>
    </row>
    <row r="19" spans="1:11" x14ac:dyDescent="0.35">
      <c r="A19" s="35">
        <v>45781</v>
      </c>
      <c r="B19" s="23">
        <v>500</v>
      </c>
      <c r="C19" s="23"/>
      <c r="D19" s="23">
        <f>Table2345345687911121514161718192021222324252627283456789101134567891011123511[[#This Row],[Cash]]+Table2345345687911121514161718192021222324252627283456789101134567891011123511[[#This Row],[Account Transfer]]</f>
        <v>500</v>
      </c>
      <c r="E19" s="22" t="s">
        <v>132</v>
      </c>
      <c r="F19" s="36" t="s">
        <v>42</v>
      </c>
      <c r="H19" s="26">
        <v>45795</v>
      </c>
      <c r="I19">
        <v>45850</v>
      </c>
      <c r="J19">
        <v>2850</v>
      </c>
      <c r="K19">
        <v>43000</v>
      </c>
    </row>
    <row r="20" spans="1:11" x14ac:dyDescent="0.35">
      <c r="A20" s="35">
        <v>45781</v>
      </c>
      <c r="B20" s="23">
        <v>1000</v>
      </c>
      <c r="C20" s="23"/>
      <c r="D20" s="23">
        <f>Table2345345687911121514161718192021222324252627283456789101134567891011123511[[#This Row],[Cash]]+Table2345345687911121514161718192021222324252627283456789101134567891011123511[[#This Row],[Account Transfer]]</f>
        <v>1000</v>
      </c>
      <c r="E20" s="22" t="s">
        <v>69</v>
      </c>
      <c r="F20" s="36" t="s">
        <v>48</v>
      </c>
      <c r="H20" s="26">
        <v>45794</v>
      </c>
      <c r="I20">
        <v>3050</v>
      </c>
      <c r="J20">
        <v>2150</v>
      </c>
      <c r="K20">
        <v>900</v>
      </c>
    </row>
    <row r="21" spans="1:11" x14ac:dyDescent="0.35">
      <c r="A21" s="35">
        <v>45781</v>
      </c>
      <c r="B21" s="23"/>
      <c r="C21" s="23">
        <v>200</v>
      </c>
      <c r="D21" s="23">
        <f>Table2345345687911121514161718192021222324252627283456789101134567891011123511[[#This Row],[Cash]]+Table2345345687911121514161718192021222324252627283456789101134567891011123511[[#This Row],[Account Transfer]]</f>
        <v>200</v>
      </c>
      <c r="E21" s="22" t="s">
        <v>208</v>
      </c>
      <c r="F21" s="36" t="s">
        <v>51</v>
      </c>
      <c r="H21" s="26">
        <v>45796</v>
      </c>
      <c r="I21">
        <v>1060</v>
      </c>
      <c r="J21">
        <v>680</v>
      </c>
      <c r="K21">
        <v>380</v>
      </c>
    </row>
    <row r="22" spans="1:11" x14ac:dyDescent="0.35">
      <c r="A22" s="35">
        <v>45782</v>
      </c>
      <c r="B22" s="23">
        <v>150</v>
      </c>
      <c r="C22" s="23"/>
      <c r="D22" s="23">
        <f>Table2345345687911121514161718192021222324252627283456789101134567891011123511[[#This Row],[Cash]]+Table2345345687911121514161718192021222324252627283456789101134567891011123511[[#This Row],[Account Transfer]]</f>
        <v>150</v>
      </c>
      <c r="E22" s="22" t="s">
        <v>109</v>
      </c>
      <c r="F22" s="36" t="s">
        <v>48</v>
      </c>
      <c r="H22" s="26">
        <v>45797</v>
      </c>
      <c r="I22">
        <v>62150</v>
      </c>
      <c r="J22">
        <v>2150</v>
      </c>
      <c r="K22">
        <v>60000</v>
      </c>
    </row>
    <row r="23" spans="1:11" x14ac:dyDescent="0.35">
      <c r="A23" s="35">
        <v>45782</v>
      </c>
      <c r="B23" s="23">
        <v>1000</v>
      </c>
      <c r="C23" s="23"/>
      <c r="D23" s="23">
        <f>Table2345345687911121514161718192021222324252627283456789101134567891011123511[[#This Row],[Cash]]+Table2345345687911121514161718192021222324252627283456789101134567891011123511[[#This Row],[Account Transfer]]</f>
        <v>1000</v>
      </c>
      <c r="E23" s="22" t="s">
        <v>69</v>
      </c>
      <c r="F23" s="36" t="s">
        <v>69</v>
      </c>
      <c r="H23" s="26">
        <v>45798</v>
      </c>
      <c r="I23">
        <v>10280</v>
      </c>
      <c r="J23">
        <v>3880</v>
      </c>
      <c r="K23">
        <v>6400</v>
      </c>
    </row>
    <row r="24" spans="1:11" x14ac:dyDescent="0.35">
      <c r="A24" s="35">
        <v>45782</v>
      </c>
      <c r="B24" s="23">
        <v>90</v>
      </c>
      <c r="C24" s="23"/>
      <c r="D24" s="23">
        <f>Table2345345687911121514161718192021222324252627283456789101134567891011123511[[#This Row],[Cash]]+Table2345345687911121514161718192021222324252627283456789101134567891011123511[[#This Row],[Account Transfer]]</f>
        <v>90</v>
      </c>
      <c r="E24" s="22" t="s">
        <v>26</v>
      </c>
      <c r="F24" s="36" t="s">
        <v>48</v>
      </c>
      <c r="H24" s="26">
        <v>45799</v>
      </c>
      <c r="I24">
        <v>125280</v>
      </c>
      <c r="J24">
        <v>51280</v>
      </c>
      <c r="K24">
        <v>74000</v>
      </c>
    </row>
    <row r="25" spans="1:11" x14ac:dyDescent="0.35">
      <c r="A25" s="35">
        <v>45782</v>
      </c>
      <c r="B25" s="23">
        <v>70</v>
      </c>
      <c r="C25" s="23"/>
      <c r="D25" s="23">
        <f>Table2345345687911121514161718192021222324252627283456789101134567891011123511[[#This Row],[Cash]]+Table2345345687911121514161718192021222324252627283456789101134567891011123511[[#This Row],[Account Transfer]]</f>
        <v>70</v>
      </c>
      <c r="E25" s="22" t="s">
        <v>26</v>
      </c>
      <c r="F25" s="36" t="s">
        <v>42</v>
      </c>
      <c r="H25" s="26">
        <v>45800</v>
      </c>
      <c r="I25">
        <v>2120</v>
      </c>
      <c r="J25">
        <v>2120</v>
      </c>
    </row>
    <row r="26" spans="1:11" x14ac:dyDescent="0.35">
      <c r="A26" s="35">
        <v>45782</v>
      </c>
      <c r="B26" s="23">
        <v>400</v>
      </c>
      <c r="C26" s="23"/>
      <c r="D26" s="23">
        <f>Table2345345687911121514161718192021222324252627283456789101134567891011123511[[#This Row],[Cash]]+Table2345345687911121514161718192021222324252627283456789101134567891011123511[[#This Row],[Account Transfer]]</f>
        <v>400</v>
      </c>
      <c r="E26" s="22" t="s">
        <v>204</v>
      </c>
      <c r="F26" s="36" t="s">
        <v>48</v>
      </c>
      <c r="H26" s="26">
        <v>45801</v>
      </c>
      <c r="I26">
        <v>3400</v>
      </c>
      <c r="J26">
        <v>3400</v>
      </c>
    </row>
    <row r="27" spans="1:11" x14ac:dyDescent="0.35">
      <c r="A27" s="35">
        <v>45782</v>
      </c>
      <c r="B27" s="23">
        <v>750</v>
      </c>
      <c r="C27" s="23"/>
      <c r="D27" s="23">
        <f>Table2345345687911121514161718192021222324252627283456789101134567891011123511[[#This Row],[Cash]]+Table2345345687911121514161718192021222324252627283456789101134567891011123511[[#This Row],[Account Transfer]]</f>
        <v>750</v>
      </c>
      <c r="E27" s="22" t="s">
        <v>89</v>
      </c>
      <c r="F27" s="36" t="s">
        <v>48</v>
      </c>
      <c r="H27" s="26">
        <v>45802</v>
      </c>
      <c r="I27">
        <v>1660</v>
      </c>
      <c r="J27">
        <v>600</v>
      </c>
      <c r="K27">
        <v>1060</v>
      </c>
    </row>
    <row r="28" spans="1:11" x14ac:dyDescent="0.35">
      <c r="A28" s="35">
        <v>45783</v>
      </c>
      <c r="B28" s="23">
        <v>300</v>
      </c>
      <c r="C28" s="23"/>
      <c r="D28" s="23">
        <f>Table2345345687911121514161718192021222324252627283456789101134567891011123511[[#This Row],[Cash]]+Table2345345687911121514161718192021222324252627283456789101134567891011123511[[#This Row],[Account Transfer]]</f>
        <v>300</v>
      </c>
      <c r="E28" s="22" t="s">
        <v>210</v>
      </c>
      <c r="F28" s="36" t="s">
        <v>48</v>
      </c>
      <c r="H28" s="26">
        <v>45803</v>
      </c>
      <c r="I28">
        <v>8720</v>
      </c>
      <c r="J28">
        <v>7720</v>
      </c>
      <c r="K28">
        <v>1000</v>
      </c>
    </row>
    <row r="29" spans="1:11" x14ac:dyDescent="0.35">
      <c r="A29" s="35">
        <v>45783</v>
      </c>
      <c r="B29" s="23">
        <v>120</v>
      </c>
      <c r="C29" s="23"/>
      <c r="D29" s="23">
        <f>Table2345345687911121514161718192021222324252627283456789101134567891011123511[[#This Row],[Cash]]+Table2345345687911121514161718192021222324252627283456789101134567891011123511[[#This Row],[Account Transfer]]</f>
        <v>120</v>
      </c>
      <c r="E29" s="22" t="s">
        <v>26</v>
      </c>
      <c r="F29" s="36" t="s">
        <v>48</v>
      </c>
      <c r="H29" s="26">
        <v>45804</v>
      </c>
      <c r="I29">
        <v>4915</v>
      </c>
      <c r="J29">
        <v>1715</v>
      </c>
      <c r="K29">
        <v>3200</v>
      </c>
    </row>
    <row r="30" spans="1:11" x14ac:dyDescent="0.35">
      <c r="A30" s="35">
        <v>45784</v>
      </c>
      <c r="B30" s="23">
        <v>2650</v>
      </c>
      <c r="C30" s="23"/>
      <c r="D30" s="23">
        <f>Table2345345687911121514161718192021222324252627283456789101134567891011123511[[#This Row],[Cash]]+Table2345345687911121514161718192021222324252627283456789101134567891011123511[[#This Row],[Account Transfer]]</f>
        <v>2650</v>
      </c>
      <c r="E30" s="22" t="s">
        <v>81</v>
      </c>
      <c r="F30" s="36" t="s">
        <v>51</v>
      </c>
      <c r="H30" s="26">
        <v>45805</v>
      </c>
      <c r="I30">
        <v>3250</v>
      </c>
      <c r="J30">
        <v>3000</v>
      </c>
      <c r="K30">
        <v>250</v>
      </c>
    </row>
    <row r="31" spans="1:11" x14ac:dyDescent="0.35">
      <c r="A31" s="35">
        <v>45784</v>
      </c>
      <c r="B31" s="23">
        <v>120</v>
      </c>
      <c r="C31" s="23"/>
      <c r="D31" s="23">
        <f>Table2345345687911121514161718192021222324252627283456789101134567891011123511[[#This Row],[Cash]]+Table2345345687911121514161718192021222324252627283456789101134567891011123511[[#This Row],[Account Transfer]]</f>
        <v>120</v>
      </c>
      <c r="E31" s="22" t="s">
        <v>26</v>
      </c>
      <c r="F31" s="36" t="s">
        <v>48</v>
      </c>
      <c r="H31" s="26">
        <v>45806</v>
      </c>
      <c r="I31">
        <v>4310</v>
      </c>
      <c r="J31">
        <v>4310</v>
      </c>
    </row>
    <row r="32" spans="1:11" x14ac:dyDescent="0.35">
      <c r="A32" s="35">
        <v>45785</v>
      </c>
      <c r="B32" s="23">
        <v>550</v>
      </c>
      <c r="C32" s="23"/>
      <c r="D32" s="23">
        <f>Table2345345687911121514161718192021222324252627283456789101134567891011123511[[#This Row],[Cash]]+Table2345345687911121514161718192021222324252627283456789101134567891011123511[[#This Row],[Account Transfer]]</f>
        <v>550</v>
      </c>
      <c r="E32" s="22" t="s">
        <v>203</v>
      </c>
      <c r="F32" s="36" t="s">
        <v>48</v>
      </c>
      <c r="H32" s="26">
        <v>45807</v>
      </c>
      <c r="I32">
        <v>2580</v>
      </c>
      <c r="J32">
        <v>2580</v>
      </c>
    </row>
    <row r="33" spans="1:11" x14ac:dyDescent="0.35">
      <c r="A33" s="35">
        <v>45785</v>
      </c>
      <c r="B33" s="23">
        <v>100</v>
      </c>
      <c r="C33" s="23"/>
      <c r="D33" s="23">
        <f>Table2345345687911121514161718192021222324252627283456789101134567891011123511[[#This Row],[Cash]]+Table2345345687911121514161718192021222324252627283456789101134567891011123511[[#This Row],[Account Transfer]]</f>
        <v>100</v>
      </c>
      <c r="E33" s="22" t="s">
        <v>94</v>
      </c>
      <c r="F33" s="36" t="s">
        <v>48</v>
      </c>
      <c r="H33" s="26">
        <v>45808</v>
      </c>
      <c r="I33">
        <v>2170</v>
      </c>
      <c r="J33">
        <v>1940</v>
      </c>
      <c r="K33">
        <v>230</v>
      </c>
    </row>
    <row r="34" spans="1:11" x14ac:dyDescent="0.35">
      <c r="A34" s="35">
        <v>45785</v>
      </c>
      <c r="B34" s="23">
        <v>400</v>
      </c>
      <c r="C34" s="23"/>
      <c r="D34" s="23">
        <f>Table2345345687911121514161718192021222324252627283456789101134567891011123511[[#This Row],[Cash]]+Table2345345687911121514161718192021222324252627283456789101134567891011123511[[#This Row],[Account Transfer]]</f>
        <v>400</v>
      </c>
      <c r="E34" s="22" t="s">
        <v>204</v>
      </c>
      <c r="F34" s="36" t="s">
        <v>74</v>
      </c>
      <c r="H34" s="26" t="s">
        <v>35</v>
      </c>
      <c r="I34">
        <v>471853</v>
      </c>
      <c r="J34">
        <v>150600</v>
      </c>
      <c r="K34">
        <v>321603</v>
      </c>
    </row>
    <row r="35" spans="1:11" x14ac:dyDescent="0.35">
      <c r="A35" s="35">
        <v>45785</v>
      </c>
      <c r="B35" s="23">
        <v>120</v>
      </c>
      <c r="C35" s="23"/>
      <c r="D35" s="23">
        <f>Table2345345687911121514161718192021222324252627283456789101134567891011123511[[#This Row],[Cash]]+Table2345345687911121514161718192021222324252627283456789101134567891011123511[[#This Row],[Account Transfer]]</f>
        <v>120</v>
      </c>
      <c r="E35" s="22" t="s">
        <v>26</v>
      </c>
      <c r="F35" s="36" t="s">
        <v>48</v>
      </c>
      <c r="I35" s="27"/>
      <c r="J35" s="27"/>
      <c r="K35" s="27"/>
    </row>
    <row r="36" spans="1:11" x14ac:dyDescent="0.35">
      <c r="A36" s="35">
        <v>45786</v>
      </c>
      <c r="B36" s="23">
        <v>800</v>
      </c>
      <c r="C36" s="23"/>
      <c r="D36" s="23">
        <f>Table2345345687911121514161718192021222324252627283456789101134567891011123511[[#This Row],[Cash]]+Table2345345687911121514161718192021222324252627283456789101134567891011123511[[#This Row],[Account Transfer]]</f>
        <v>800</v>
      </c>
      <c r="E36" s="44" t="s">
        <v>108</v>
      </c>
      <c r="F36" s="36" t="s">
        <v>74</v>
      </c>
      <c r="I36" s="27"/>
      <c r="J36" s="27"/>
      <c r="K36" s="27"/>
    </row>
    <row r="37" spans="1:11" x14ac:dyDescent="0.35">
      <c r="A37" s="35">
        <v>45786</v>
      </c>
      <c r="B37" s="23">
        <v>120</v>
      </c>
      <c r="C37" s="23"/>
      <c r="D37" s="23">
        <f>Table2345345687911121514161718192021222324252627283456789101134567891011123511[[#This Row],[Cash]]+Table2345345687911121514161718192021222324252627283456789101134567891011123511[[#This Row],[Account Transfer]]</f>
        <v>120</v>
      </c>
      <c r="E37" s="22" t="s">
        <v>26</v>
      </c>
      <c r="F37" s="36" t="s">
        <v>74</v>
      </c>
      <c r="I37" s="27"/>
      <c r="J37" s="27"/>
      <c r="K37" s="27"/>
    </row>
    <row r="38" spans="1:11" x14ac:dyDescent="0.35">
      <c r="A38" s="35">
        <v>45786</v>
      </c>
      <c r="B38" s="23"/>
      <c r="C38" s="23">
        <v>1250</v>
      </c>
      <c r="D38" s="23">
        <f>Table2345345687911121514161718192021222324252627283456789101134567891011123511[[#This Row],[Cash]]+Table2345345687911121514161718192021222324252627283456789101134567891011123511[[#This Row],[Account Transfer]]</f>
        <v>1250</v>
      </c>
      <c r="E38" s="22" t="s">
        <v>113</v>
      </c>
      <c r="F38" s="36" t="s">
        <v>48</v>
      </c>
      <c r="I38" s="27"/>
      <c r="J38" s="27"/>
      <c r="K38" s="27"/>
    </row>
    <row r="39" spans="1:11" x14ac:dyDescent="0.35">
      <c r="A39" s="35">
        <v>45786</v>
      </c>
      <c r="B39" s="23">
        <v>4000</v>
      </c>
      <c r="C39" s="23"/>
      <c r="D39" s="23">
        <f>Table2345345687911121514161718192021222324252627283456789101134567891011123511[[#This Row],[Cash]]+Table2345345687911121514161718192021222324252627283456789101134567891011123511[[#This Row],[Account Transfer]]</f>
        <v>4000</v>
      </c>
      <c r="E39" s="22" t="s">
        <v>211</v>
      </c>
      <c r="F39" s="36" t="s">
        <v>42</v>
      </c>
      <c r="I39" s="27"/>
      <c r="J39" s="27"/>
      <c r="K39" s="27"/>
    </row>
    <row r="40" spans="1:11" x14ac:dyDescent="0.35">
      <c r="A40" s="35">
        <v>45786</v>
      </c>
      <c r="B40" s="23"/>
      <c r="C40" s="23">
        <v>2000</v>
      </c>
      <c r="D40" s="23">
        <f>Table2345345687911121514161718192021222324252627283456789101134567891011123511[[#This Row],[Cash]]+Table2345345687911121514161718192021222324252627283456789101134567891011123511[[#This Row],[Account Transfer]]</f>
        <v>2000</v>
      </c>
      <c r="E40" s="22" t="s">
        <v>212</v>
      </c>
      <c r="F40" s="36" t="s">
        <v>42</v>
      </c>
      <c r="I40" s="27"/>
      <c r="J40" s="27"/>
      <c r="K40" s="27"/>
    </row>
    <row r="41" spans="1:11" x14ac:dyDescent="0.35">
      <c r="A41" s="35">
        <v>45786</v>
      </c>
      <c r="B41" s="23"/>
      <c r="C41" s="23">
        <v>34633</v>
      </c>
      <c r="D41" s="23">
        <f>Table2345345687911121514161718192021222324252627283456789101134567891011123511[[#This Row],[Cash]]+Table2345345687911121514161718192021222324252627283456789101134567891011123511[[#This Row],[Account Transfer]]</f>
        <v>34633</v>
      </c>
      <c r="E41" s="22" t="s">
        <v>213</v>
      </c>
      <c r="F41" s="36" t="s">
        <v>69</v>
      </c>
      <c r="I41" s="27"/>
      <c r="J41" s="27"/>
      <c r="K41" s="27"/>
    </row>
    <row r="42" spans="1:11" x14ac:dyDescent="0.35">
      <c r="A42" s="35">
        <v>45786</v>
      </c>
      <c r="B42" s="23"/>
      <c r="C42" s="23">
        <v>2360</v>
      </c>
      <c r="D42" s="23">
        <f>Table2345345687911121514161718192021222324252627283456789101134567891011123511[[#This Row],[Cash]]+Table2345345687911121514161718192021222324252627283456789101134567891011123511[[#This Row],[Account Transfer]]</f>
        <v>2360</v>
      </c>
      <c r="E42" s="22" t="s">
        <v>214</v>
      </c>
      <c r="F42" s="36" t="s">
        <v>69</v>
      </c>
      <c r="I42" s="27"/>
      <c r="J42" s="27"/>
      <c r="K42" s="27"/>
    </row>
    <row r="43" spans="1:11" x14ac:dyDescent="0.35">
      <c r="A43" s="35">
        <v>45786</v>
      </c>
      <c r="B43" s="23">
        <v>1200</v>
      </c>
      <c r="C43" s="23"/>
      <c r="D43" s="23">
        <f>Table2345345687911121514161718192021222324252627283456789101134567891011123511[[#This Row],[Cash]]+Table2345345687911121514161718192021222324252627283456789101134567891011123511[[#This Row],[Account Transfer]]</f>
        <v>1200</v>
      </c>
      <c r="E43" s="22" t="s">
        <v>184</v>
      </c>
      <c r="F43" s="36" t="s">
        <v>51</v>
      </c>
      <c r="I43" s="27"/>
      <c r="J43" s="27"/>
      <c r="K43" s="27"/>
    </row>
    <row r="44" spans="1:11" x14ac:dyDescent="0.35">
      <c r="A44" s="35">
        <v>45786</v>
      </c>
      <c r="B44" s="23">
        <v>2000</v>
      </c>
      <c r="C44" s="23"/>
      <c r="D44" s="23">
        <f>Table2345345687911121514161718192021222324252627283456789101134567891011123511[[#This Row],[Cash]]+Table2345345687911121514161718192021222324252627283456789101134567891011123511[[#This Row],[Account Transfer]]</f>
        <v>2000</v>
      </c>
      <c r="E44" s="22" t="s">
        <v>215</v>
      </c>
      <c r="F44" s="36" t="s">
        <v>51</v>
      </c>
      <c r="I44" s="27"/>
      <c r="J44" s="27"/>
      <c r="K44" s="27"/>
    </row>
    <row r="45" spans="1:11" x14ac:dyDescent="0.35">
      <c r="A45" s="35">
        <v>45787</v>
      </c>
      <c r="B45" s="23">
        <v>870</v>
      </c>
      <c r="C45" s="23"/>
      <c r="D45" s="23">
        <f>Table2345345687911121514161718192021222324252627283456789101134567891011123511[[#This Row],[Cash]]+Table2345345687911121514161718192021222324252627283456789101134567891011123511[[#This Row],[Account Transfer]]</f>
        <v>870</v>
      </c>
      <c r="E45" s="22" t="s">
        <v>216</v>
      </c>
      <c r="F45" s="36" t="s">
        <v>42</v>
      </c>
      <c r="I45" s="27"/>
      <c r="J45" s="27"/>
      <c r="K45" s="27"/>
    </row>
    <row r="46" spans="1:11" x14ac:dyDescent="0.35">
      <c r="A46" s="35">
        <v>45787</v>
      </c>
      <c r="B46" s="23">
        <v>750</v>
      </c>
      <c r="C46" s="23"/>
      <c r="D46" s="23">
        <f>Table2345345687911121514161718192021222324252627283456789101134567891011123511[[#This Row],[Cash]]+Table2345345687911121514161718192021222324252627283456789101134567891011123511[[#This Row],[Account Transfer]]</f>
        <v>750</v>
      </c>
      <c r="E46" s="22" t="s">
        <v>97</v>
      </c>
      <c r="F46" s="36" t="s">
        <v>48</v>
      </c>
      <c r="I46" s="27"/>
      <c r="J46" s="27"/>
      <c r="K46" s="27"/>
    </row>
    <row r="47" spans="1:11" x14ac:dyDescent="0.35">
      <c r="A47" s="35">
        <v>45787</v>
      </c>
      <c r="B47" s="23">
        <v>60</v>
      </c>
      <c r="C47" s="23"/>
      <c r="D47" s="23">
        <f>Table2345345687911121514161718192021222324252627283456789101134567891011123511[[#This Row],[Cash]]+Table2345345687911121514161718192021222324252627283456789101134567891011123511[[#This Row],[Account Transfer]]</f>
        <v>60</v>
      </c>
      <c r="E47" s="22" t="s">
        <v>26</v>
      </c>
      <c r="F47" s="36" t="s">
        <v>48</v>
      </c>
      <c r="I47" s="27"/>
      <c r="J47" s="27"/>
      <c r="K47" s="27"/>
    </row>
    <row r="48" spans="1:11" x14ac:dyDescent="0.35">
      <c r="A48" s="35">
        <v>45787</v>
      </c>
      <c r="B48" s="23">
        <v>1000</v>
      </c>
      <c r="C48" s="23"/>
      <c r="D48" s="23">
        <f>Table2345345687911121514161718192021222324252627283456789101134567891011123511[[#This Row],[Cash]]+Table2345345687911121514161718192021222324252627283456789101134567891011123511[[#This Row],[Account Transfer]]</f>
        <v>1000</v>
      </c>
      <c r="E48" s="22" t="s">
        <v>69</v>
      </c>
      <c r="F48" s="36" t="s">
        <v>69</v>
      </c>
      <c r="I48" s="27"/>
      <c r="J48" s="27"/>
      <c r="K48" s="27"/>
    </row>
    <row r="49" spans="1:6" x14ac:dyDescent="0.35">
      <c r="A49" s="35">
        <v>45787</v>
      </c>
      <c r="B49" s="23"/>
      <c r="C49" s="23">
        <v>3000</v>
      </c>
      <c r="D49" s="23">
        <f>Table2345345687911121514161718192021222324252627283456789101134567891011123511[[#This Row],[Cash]]+Table2345345687911121514161718192021222324252627283456789101134567891011123511[[#This Row],[Account Transfer]]</f>
        <v>3000</v>
      </c>
      <c r="E49" s="22" t="s">
        <v>217</v>
      </c>
      <c r="F49" s="36" t="s">
        <v>42</v>
      </c>
    </row>
    <row r="50" spans="1:6" x14ac:dyDescent="0.35">
      <c r="A50" s="35">
        <v>45788</v>
      </c>
      <c r="B50" s="23">
        <v>1450</v>
      </c>
      <c r="C50" s="23"/>
      <c r="D50" s="23">
        <f>Table2345345687911121514161718192021222324252627283456789101134567891011123511[[#This Row],[Cash]]+Table2345345687911121514161718192021222324252627283456789101134567891011123511[[#This Row],[Account Transfer]]</f>
        <v>1450</v>
      </c>
      <c r="E50" s="22" t="s">
        <v>218</v>
      </c>
      <c r="F50" s="36" t="s">
        <v>48</v>
      </c>
    </row>
    <row r="51" spans="1:6" x14ac:dyDescent="0.35">
      <c r="A51" s="35">
        <v>45788</v>
      </c>
      <c r="B51" s="23">
        <v>750</v>
      </c>
      <c r="C51" s="23"/>
      <c r="D51" s="23">
        <f>Table2345345687911121514161718192021222324252627283456789101134567891011123511[[#This Row],[Cash]]+Table2345345687911121514161718192021222324252627283456789101134567891011123511[[#This Row],[Account Transfer]]</f>
        <v>750</v>
      </c>
      <c r="E51" s="22" t="s">
        <v>97</v>
      </c>
      <c r="F51" s="36" t="s">
        <v>48</v>
      </c>
    </row>
    <row r="52" spans="1:6" x14ac:dyDescent="0.35">
      <c r="A52" s="35">
        <v>45788</v>
      </c>
      <c r="B52" s="23">
        <v>700</v>
      </c>
      <c r="C52" s="23"/>
      <c r="D52" s="23">
        <f>Table2345345687911121514161718192021222324252627283456789101134567891011123511[[#This Row],[Cash]]+Table2345345687911121514161718192021222324252627283456789101134567891011123511[[#This Row],[Account Transfer]]</f>
        <v>700</v>
      </c>
      <c r="E52" s="22" t="s">
        <v>219</v>
      </c>
      <c r="F52" s="36" t="s">
        <v>48</v>
      </c>
    </row>
    <row r="53" spans="1:6" x14ac:dyDescent="0.35">
      <c r="A53" s="35">
        <v>45788</v>
      </c>
      <c r="B53" s="23">
        <v>60</v>
      </c>
      <c r="C53" s="23"/>
      <c r="D53" s="23">
        <f>Table2345345687911121514161718192021222324252627283456789101134567891011123511[[#This Row],[Cash]]+Table2345345687911121514161718192021222324252627283456789101134567891011123511[[#This Row],[Account Transfer]]</f>
        <v>60</v>
      </c>
      <c r="E53" s="22" t="s">
        <v>220</v>
      </c>
      <c r="F53" s="36" t="s">
        <v>48</v>
      </c>
    </row>
    <row r="54" spans="1:6" x14ac:dyDescent="0.35">
      <c r="A54" s="35">
        <v>45788</v>
      </c>
      <c r="B54" s="23">
        <v>1000</v>
      </c>
      <c r="C54" s="23"/>
      <c r="D54" s="23">
        <f>Table2345345687911121514161718192021222324252627283456789101134567891011123511[[#This Row],[Cash]]+Table2345345687911121514161718192021222324252627283456789101134567891011123511[[#This Row],[Account Transfer]]</f>
        <v>1000</v>
      </c>
      <c r="E54" s="22" t="s">
        <v>69</v>
      </c>
      <c r="F54" s="36" t="s">
        <v>69</v>
      </c>
    </row>
    <row r="55" spans="1:6" x14ac:dyDescent="0.35">
      <c r="A55" s="35">
        <v>45788</v>
      </c>
      <c r="B55" s="23">
        <v>1700</v>
      </c>
      <c r="C55" s="23"/>
      <c r="D55" s="23">
        <f>Table2345345687911121514161718192021222324252627283456789101134567891011123511[[#This Row],[Cash]]+Table2345345687911121514161718192021222324252627283456789101134567891011123511[[#This Row],[Account Transfer]]</f>
        <v>1700</v>
      </c>
      <c r="E55" s="22" t="s">
        <v>204</v>
      </c>
      <c r="F55" s="36" t="s">
        <v>48</v>
      </c>
    </row>
    <row r="56" spans="1:6" x14ac:dyDescent="0.35">
      <c r="A56" s="35">
        <v>45789</v>
      </c>
      <c r="B56" s="23">
        <v>6920</v>
      </c>
      <c r="C56" s="23"/>
      <c r="D56" s="23">
        <f>Table2345345687911121514161718192021222324252627283456789101134567891011123511[[#This Row],[Cash]]+Table2345345687911121514161718192021222324252627283456789101134567891011123511[[#This Row],[Account Transfer]]</f>
        <v>6920</v>
      </c>
      <c r="E56" s="22" t="s">
        <v>221</v>
      </c>
      <c r="F56" s="36" t="s">
        <v>45</v>
      </c>
    </row>
    <row r="57" spans="1:6" x14ac:dyDescent="0.35">
      <c r="A57" s="35">
        <v>45789</v>
      </c>
      <c r="B57" s="23">
        <v>1000</v>
      </c>
      <c r="C57" s="23"/>
      <c r="D57" s="23">
        <f>Table2345345687911121514161718192021222324252627283456789101134567891011123511[[#This Row],[Cash]]+Table2345345687911121514161718192021222324252627283456789101134567891011123511[[#This Row],[Account Transfer]]</f>
        <v>1000</v>
      </c>
      <c r="E57" s="22" t="s">
        <v>69</v>
      </c>
      <c r="F57" s="36" t="s">
        <v>69</v>
      </c>
    </row>
    <row r="58" spans="1:6" x14ac:dyDescent="0.35">
      <c r="A58" s="35">
        <v>45789</v>
      </c>
      <c r="B58" s="23">
        <v>150</v>
      </c>
      <c r="C58" s="23"/>
      <c r="D58" s="23">
        <f>Table2345345687911121514161718192021222324252627283456789101134567891011123511[[#This Row],[Cash]]+Table2345345687911121514161718192021222324252627283456789101134567891011123511[[#This Row],[Account Transfer]]</f>
        <v>150</v>
      </c>
      <c r="E58" s="22" t="s">
        <v>26</v>
      </c>
      <c r="F58" s="36" t="s">
        <v>48</v>
      </c>
    </row>
    <row r="59" spans="1:6" x14ac:dyDescent="0.35">
      <c r="A59" s="35">
        <v>45789</v>
      </c>
      <c r="B59" s="23"/>
      <c r="C59" s="23">
        <v>25000</v>
      </c>
      <c r="D59" s="23">
        <f>Table2345345687911121514161718192021222324252627283456789101134567891011123511[[#This Row],[Cash]]+Table2345345687911121514161718192021222324252627283456789101134567891011123511[[#This Row],[Account Transfer]]</f>
        <v>25000</v>
      </c>
      <c r="E59" s="22" t="s">
        <v>222</v>
      </c>
      <c r="F59" s="36" t="s">
        <v>45</v>
      </c>
    </row>
    <row r="60" spans="1:6" x14ac:dyDescent="0.35">
      <c r="A60" s="35">
        <v>45790</v>
      </c>
      <c r="B60" s="23">
        <v>120</v>
      </c>
      <c r="C60" s="23"/>
      <c r="D60" s="23">
        <f>Table2345345687911121514161718192021222324252627283456789101134567891011123511[[#This Row],[Cash]]+Table2345345687911121514161718192021222324252627283456789101134567891011123511[[#This Row],[Account Transfer]]</f>
        <v>120</v>
      </c>
      <c r="E60" s="22" t="s">
        <v>26</v>
      </c>
      <c r="F60" s="36" t="s">
        <v>48</v>
      </c>
    </row>
    <row r="61" spans="1:6" x14ac:dyDescent="0.35">
      <c r="A61" s="35">
        <v>45790</v>
      </c>
      <c r="B61" s="23"/>
      <c r="C61" s="23">
        <v>13390</v>
      </c>
      <c r="D61" s="23">
        <f>Table2345345687911121514161718192021222324252627283456789101134567891011123511[[#This Row],[Cash]]+Table2345345687911121514161718192021222324252627283456789101134567891011123511[[#This Row],[Account Transfer]]</f>
        <v>13390</v>
      </c>
      <c r="E61" s="22" t="s">
        <v>223</v>
      </c>
      <c r="F61" s="36" t="s">
        <v>46</v>
      </c>
    </row>
    <row r="62" spans="1:6" x14ac:dyDescent="0.35">
      <c r="A62" s="35">
        <v>45791</v>
      </c>
      <c r="B62" s="23">
        <v>1000</v>
      </c>
      <c r="C62" s="23"/>
      <c r="D62" s="23">
        <f>Table2345345687911121514161718192021222324252627283456789101134567891011123511[[#This Row],[Cash]]+Table2345345687911121514161718192021222324252627283456789101134567891011123511[[#This Row],[Account Transfer]]</f>
        <v>1000</v>
      </c>
      <c r="E62" s="22" t="s">
        <v>69</v>
      </c>
      <c r="F62" s="36" t="s">
        <v>69</v>
      </c>
    </row>
    <row r="63" spans="1:6" x14ac:dyDescent="0.35">
      <c r="A63" s="35">
        <v>45791</v>
      </c>
      <c r="B63" s="23">
        <v>90</v>
      </c>
      <c r="C63" s="23"/>
      <c r="D63" s="23">
        <f>Table2345345687911121514161718192021222324252627283456789101134567891011123511[[#This Row],[Cash]]+Table2345345687911121514161718192021222324252627283456789101134567891011123511[[#This Row],[Account Transfer]]</f>
        <v>90</v>
      </c>
      <c r="E63" s="22" t="s">
        <v>26</v>
      </c>
      <c r="F63" s="36" t="s">
        <v>48</v>
      </c>
    </row>
    <row r="64" spans="1:6" x14ac:dyDescent="0.35">
      <c r="A64" s="35">
        <v>45791</v>
      </c>
      <c r="B64" s="23">
        <v>500</v>
      </c>
      <c r="C64" s="23"/>
      <c r="D64" s="23">
        <f>Table2345345687911121514161718192021222324252627283456789101134567891011123511[[#This Row],[Cash]]+Table2345345687911121514161718192021222324252627283456789101134567891011123511[[#This Row],[Account Transfer]]</f>
        <v>500</v>
      </c>
      <c r="E64" s="22" t="s">
        <v>204</v>
      </c>
      <c r="F64" s="36" t="s">
        <v>48</v>
      </c>
    </row>
    <row r="65" spans="1:6" x14ac:dyDescent="0.35">
      <c r="A65" s="35">
        <v>45791</v>
      </c>
      <c r="B65" s="23">
        <v>100</v>
      </c>
      <c r="C65" s="23"/>
      <c r="D65" s="23">
        <f>Table2345345687911121514161718192021222324252627283456789101134567891011123511[[#This Row],[Cash]]+Table2345345687911121514161718192021222324252627283456789101134567891011123511[[#This Row],[Account Transfer]]</f>
        <v>100</v>
      </c>
      <c r="E65" s="22" t="s">
        <v>184</v>
      </c>
      <c r="F65" s="36" t="s">
        <v>51</v>
      </c>
    </row>
    <row r="66" spans="1:6" x14ac:dyDescent="0.35">
      <c r="A66" s="35">
        <v>45791</v>
      </c>
      <c r="B66" s="23"/>
      <c r="C66" s="23">
        <v>10000</v>
      </c>
      <c r="D66" s="23">
        <f>Table2345345687911121514161718192021222324252627283456789101134567891011123511[[#This Row],[Cash]]+Table2345345687911121514161718192021222324252627283456789101134567891011123511[[#This Row],[Account Transfer]]</f>
        <v>10000</v>
      </c>
      <c r="E66" s="22" t="s">
        <v>222</v>
      </c>
      <c r="F66" s="36" t="s">
        <v>45</v>
      </c>
    </row>
    <row r="67" spans="1:6" x14ac:dyDescent="0.35">
      <c r="A67" s="35">
        <v>45792</v>
      </c>
      <c r="B67" s="23">
        <v>2000</v>
      </c>
      <c r="C67" s="23"/>
      <c r="D67" s="23">
        <f>Table2345345687911121514161718192021222324252627283456789101134567891011123511[[#This Row],[Cash]]+Table2345345687911121514161718192021222324252627283456789101134567891011123511[[#This Row],[Account Transfer]]</f>
        <v>2000</v>
      </c>
      <c r="E67" s="22" t="s">
        <v>224</v>
      </c>
      <c r="F67" s="36" t="s">
        <v>45</v>
      </c>
    </row>
    <row r="68" spans="1:6" x14ac:dyDescent="0.35">
      <c r="A68" s="35">
        <v>45792</v>
      </c>
      <c r="B68" s="23">
        <v>100</v>
      </c>
      <c r="C68" s="23"/>
      <c r="D68" s="23">
        <f>Table2345345687911121514161718192021222324252627283456789101134567891011123511[[#This Row],[Cash]]+Table2345345687911121514161718192021222324252627283456789101134567891011123511[[#This Row],[Account Transfer]]</f>
        <v>100</v>
      </c>
      <c r="E68" s="22" t="s">
        <v>26</v>
      </c>
      <c r="F68" s="36" t="s">
        <v>48</v>
      </c>
    </row>
    <row r="69" spans="1:6" x14ac:dyDescent="0.35">
      <c r="A69" s="35">
        <v>45792</v>
      </c>
      <c r="B69" s="23">
        <v>530</v>
      </c>
      <c r="C69" s="23"/>
      <c r="D69" s="23">
        <f>Table2345345687911121514161718192021222324252627283456789101134567891011123511[[#This Row],[Cash]]+Table2345345687911121514161718192021222324252627283456789101134567891011123511[[#This Row],[Account Transfer]]</f>
        <v>530</v>
      </c>
      <c r="E69" s="22" t="s">
        <v>132</v>
      </c>
      <c r="F69" s="36" t="s">
        <v>42</v>
      </c>
    </row>
    <row r="70" spans="1:6" x14ac:dyDescent="0.35">
      <c r="A70" s="35">
        <v>45792</v>
      </c>
      <c r="B70" s="23">
        <v>6500</v>
      </c>
      <c r="C70" s="23"/>
      <c r="D70" s="23">
        <f>Table2345345687911121514161718192021222324252627283456789101134567891011123511[[#This Row],[Cash]]+Table2345345687911121514161718192021222324252627283456789101134567891011123511[[#This Row],[Account Transfer]]</f>
        <v>6500</v>
      </c>
      <c r="E70" s="22" t="s">
        <v>225</v>
      </c>
      <c r="F70" s="36" t="s">
        <v>45</v>
      </c>
    </row>
    <row r="71" spans="1:6" x14ac:dyDescent="0.35">
      <c r="A71" s="35">
        <v>45792</v>
      </c>
      <c r="B71" s="23"/>
      <c r="C71" s="23">
        <v>10000</v>
      </c>
      <c r="D71" s="23">
        <f>Table2345345687911121514161718192021222324252627283456789101134567891011123511[[#This Row],[Cash]]+Table2345345687911121514161718192021222324252627283456789101134567891011123511[[#This Row],[Account Transfer]]</f>
        <v>10000</v>
      </c>
      <c r="E71" s="22" t="s">
        <v>222</v>
      </c>
      <c r="F71" s="36" t="s">
        <v>45</v>
      </c>
    </row>
    <row r="72" spans="1:6" x14ac:dyDescent="0.35">
      <c r="A72" s="35">
        <v>45792</v>
      </c>
      <c r="B72" s="23"/>
      <c r="C72" s="23">
        <v>13520</v>
      </c>
      <c r="D72" s="23">
        <f>Table2345345687911121514161718192021222324252627283456789101134567891011123511[[#This Row],[Cash]]+Table2345345687911121514161718192021222324252627283456789101134567891011123511[[#This Row],[Account Transfer]]</f>
        <v>13520</v>
      </c>
      <c r="E72" s="22" t="s">
        <v>223</v>
      </c>
      <c r="F72" s="36" t="s">
        <v>46</v>
      </c>
    </row>
    <row r="73" spans="1:6" x14ac:dyDescent="0.35">
      <c r="A73" s="35">
        <v>45793</v>
      </c>
      <c r="B73" s="23">
        <v>500</v>
      </c>
      <c r="C73" s="23"/>
      <c r="D73" s="23">
        <f>Table2345345687911121514161718192021222324252627283456789101134567891011123511[[#This Row],[Cash]]+Table2345345687911121514161718192021222324252627283456789101134567891011123511[[#This Row],[Account Transfer]]</f>
        <v>500</v>
      </c>
      <c r="E73" s="22" t="s">
        <v>129</v>
      </c>
      <c r="F73" s="36" t="s">
        <v>42</v>
      </c>
    </row>
    <row r="74" spans="1:6" x14ac:dyDescent="0.35">
      <c r="A74" s="35">
        <v>45793</v>
      </c>
      <c r="B74" s="23">
        <v>35</v>
      </c>
      <c r="C74" s="23"/>
      <c r="D74" s="23">
        <f>Table2345345687911121514161718192021222324252627283456789101134567891011123511[[#This Row],[Cash]]+Table2345345687911121514161718192021222324252627283456789101134567891011123511[[#This Row],[Account Transfer]]</f>
        <v>35</v>
      </c>
      <c r="E74" s="22" t="s">
        <v>203</v>
      </c>
      <c r="F74" s="36" t="s">
        <v>48</v>
      </c>
    </row>
    <row r="75" spans="1:6" x14ac:dyDescent="0.35">
      <c r="A75" s="35">
        <v>45793</v>
      </c>
      <c r="B75" s="23">
        <v>100</v>
      </c>
      <c r="C75" s="23"/>
      <c r="D75" s="23">
        <f>Table2345345687911121514161718192021222324252627283456789101134567891011123511[[#This Row],[Cash]]+Table2345345687911121514161718192021222324252627283456789101134567891011123511[[#This Row],[Account Transfer]]</f>
        <v>100</v>
      </c>
      <c r="E75" s="22" t="s">
        <v>226</v>
      </c>
      <c r="F75" s="36" t="s">
        <v>48</v>
      </c>
    </row>
    <row r="76" spans="1:6" x14ac:dyDescent="0.35">
      <c r="A76" s="35">
        <v>45793</v>
      </c>
      <c r="B76" s="23">
        <v>120</v>
      </c>
      <c r="C76" s="23"/>
      <c r="D76" s="23">
        <f>Table2345345687911121514161718192021222324252627283456789101134567891011123511[[#This Row],[Cash]]+Table2345345687911121514161718192021222324252627283456789101134567891011123511[[#This Row],[Account Transfer]]</f>
        <v>120</v>
      </c>
      <c r="E76" s="22" t="s">
        <v>227</v>
      </c>
      <c r="F76" s="36" t="s">
        <v>48</v>
      </c>
    </row>
    <row r="77" spans="1:6" x14ac:dyDescent="0.35">
      <c r="A77" s="35">
        <v>45793</v>
      </c>
      <c r="B77" s="23"/>
      <c r="C77" s="23">
        <v>950</v>
      </c>
      <c r="D77" s="23">
        <f>Table2345345687911121514161718192021222324252627283456789101134567891011123511[[#This Row],[Cash]]+Table2345345687911121514161718192021222324252627283456789101134567891011123511[[#This Row],[Account Transfer]]</f>
        <v>950</v>
      </c>
      <c r="E77" s="22" t="s">
        <v>228</v>
      </c>
      <c r="F77" s="36" t="s">
        <v>48</v>
      </c>
    </row>
    <row r="78" spans="1:6" x14ac:dyDescent="0.35">
      <c r="A78" s="35">
        <v>45793</v>
      </c>
      <c r="B78" s="23">
        <v>1600</v>
      </c>
      <c r="C78" s="23"/>
      <c r="D78" s="23">
        <f>Table2345345687911121514161718192021222324252627283456789101134567891011123511[[#This Row],[Cash]]+Table2345345687911121514161718192021222324252627283456789101134567891011123511[[#This Row],[Account Transfer]]</f>
        <v>1600</v>
      </c>
      <c r="E78" s="22" t="s">
        <v>73</v>
      </c>
      <c r="F78" s="36" t="s">
        <v>48</v>
      </c>
    </row>
    <row r="79" spans="1:6" x14ac:dyDescent="0.35">
      <c r="A79" s="35">
        <v>45793</v>
      </c>
      <c r="B79" s="23">
        <v>1200</v>
      </c>
      <c r="C79" s="23"/>
      <c r="D79" s="23">
        <f>Table2345345687911121514161718192021222324252627283456789101134567891011123511[[#This Row],[Cash]]+Table2345345687911121514161718192021222324252627283456789101134567891011123511[[#This Row],[Account Transfer]]</f>
        <v>1200</v>
      </c>
      <c r="E79" s="22" t="s">
        <v>113</v>
      </c>
      <c r="F79" s="36" t="s">
        <v>48</v>
      </c>
    </row>
    <row r="80" spans="1:6" x14ac:dyDescent="0.35">
      <c r="A80" s="35">
        <v>45793</v>
      </c>
      <c r="B80" s="23">
        <v>2000</v>
      </c>
      <c r="C80" s="23"/>
      <c r="D80" s="23">
        <f>Table2345345687911121514161718192021222324252627283456789101134567891011123511[[#This Row],[Cash]]+Table2345345687911121514161718192021222324252627283456789101134567891011123511[[#This Row],[Account Transfer]]</f>
        <v>2000</v>
      </c>
      <c r="E80" s="22" t="s">
        <v>129</v>
      </c>
      <c r="F80" s="36" t="s">
        <v>42</v>
      </c>
    </row>
    <row r="81" spans="1:6" x14ac:dyDescent="0.35">
      <c r="A81" s="35">
        <v>45793</v>
      </c>
      <c r="B81" s="23">
        <v>90</v>
      </c>
      <c r="C81" s="23"/>
      <c r="D81" s="23">
        <f>Table2345345687911121514161718192021222324252627283456789101134567891011123511[[#This Row],[Cash]]+Table2345345687911121514161718192021222324252627283456789101134567891011123511[[#This Row],[Account Transfer]]</f>
        <v>90</v>
      </c>
      <c r="E81" s="22" t="s">
        <v>26</v>
      </c>
      <c r="F81" s="36" t="s">
        <v>48</v>
      </c>
    </row>
    <row r="82" spans="1:6" x14ac:dyDescent="0.35">
      <c r="A82" s="35">
        <v>45795</v>
      </c>
      <c r="B82" s="23">
        <v>300</v>
      </c>
      <c r="C82" s="23"/>
      <c r="D82" s="23">
        <f>Table2345345687911121514161718192021222324252627283456789101134567891011123511[[#This Row],[Cash]]+Table2345345687911121514161718192021222324252627283456789101134567891011123511[[#This Row],[Account Transfer]]</f>
        <v>300</v>
      </c>
      <c r="E82" s="22" t="s">
        <v>234</v>
      </c>
      <c r="F82" s="36" t="s">
        <v>48</v>
      </c>
    </row>
    <row r="83" spans="1:6" x14ac:dyDescent="0.35">
      <c r="A83" s="35">
        <v>45795</v>
      </c>
      <c r="B83" s="23">
        <v>30</v>
      </c>
      <c r="C83" s="23"/>
      <c r="D83" s="23">
        <f>Table2345345687911121514161718192021222324252627283456789101134567891011123511[[#This Row],[Cash]]+Table2345345687911121514161718192021222324252627283456789101134567891011123511[[#This Row],[Account Transfer]]</f>
        <v>30</v>
      </c>
      <c r="E83" s="22" t="s">
        <v>107</v>
      </c>
      <c r="F83" s="36" t="s">
        <v>48</v>
      </c>
    </row>
    <row r="84" spans="1:6" x14ac:dyDescent="0.35">
      <c r="A84" s="35">
        <v>45795</v>
      </c>
      <c r="B84" s="23">
        <v>90</v>
      </c>
      <c r="C84" s="23"/>
      <c r="D84" s="23">
        <f>Table2345345687911121514161718192021222324252627283456789101134567891011123511[[#This Row],[Cash]]+Table2345345687911121514161718192021222324252627283456789101134567891011123511[[#This Row],[Account Transfer]]</f>
        <v>90</v>
      </c>
      <c r="E84" s="22" t="s">
        <v>26</v>
      </c>
      <c r="F84" s="36" t="s">
        <v>48</v>
      </c>
    </row>
    <row r="85" spans="1:6" x14ac:dyDescent="0.35">
      <c r="A85" s="35">
        <v>45795</v>
      </c>
      <c r="B85" s="23">
        <v>1000</v>
      </c>
      <c r="C85" s="23"/>
      <c r="D85" s="23">
        <f>Table2345345687911121514161718192021222324252627283456789101134567891011123511[[#This Row],[Cash]]+Table2345345687911121514161718192021222324252627283456789101134567891011123511[[#This Row],[Account Transfer]]</f>
        <v>1000</v>
      </c>
      <c r="E85" s="22" t="s">
        <v>69</v>
      </c>
      <c r="F85" s="36" t="s">
        <v>48</v>
      </c>
    </row>
    <row r="86" spans="1:6" x14ac:dyDescent="0.35">
      <c r="A86" s="35">
        <v>45795</v>
      </c>
      <c r="B86" s="23"/>
      <c r="C86" s="23">
        <v>2500</v>
      </c>
      <c r="D86" s="23">
        <f>Table2345345687911121514161718192021222324252627283456789101134567891011123511[[#This Row],[Cash]]+Table2345345687911121514161718192021222324252627283456789101134567891011123511[[#This Row],[Account Transfer]]</f>
        <v>2500</v>
      </c>
      <c r="E86" s="22" t="s">
        <v>235</v>
      </c>
      <c r="F86" s="36" t="s">
        <v>45</v>
      </c>
    </row>
    <row r="87" spans="1:6" x14ac:dyDescent="0.35">
      <c r="A87" s="35">
        <v>45794</v>
      </c>
      <c r="B87" s="23"/>
      <c r="C87" s="23">
        <v>500</v>
      </c>
      <c r="D87" s="23">
        <f>Table2345345687911121514161718192021222324252627283456789101134567891011123511[[#This Row],[Cash]]+Table2345345687911121514161718192021222324252627283456789101134567891011123511[[#This Row],[Account Transfer]]</f>
        <v>500</v>
      </c>
      <c r="E87" s="22" t="s">
        <v>215</v>
      </c>
      <c r="F87" s="36" t="s">
        <v>51</v>
      </c>
    </row>
    <row r="88" spans="1:6" x14ac:dyDescent="0.35">
      <c r="A88" s="35">
        <v>45794</v>
      </c>
      <c r="B88" s="23">
        <v>150</v>
      </c>
      <c r="C88" s="23"/>
      <c r="D88" s="23">
        <f>Table2345345687911121514161718192021222324252627283456789101134567891011123511[[#This Row],[Cash]]+Table2345345687911121514161718192021222324252627283456789101134567891011123511[[#This Row],[Account Transfer]]</f>
        <v>150</v>
      </c>
      <c r="E88" s="22" t="s">
        <v>26</v>
      </c>
      <c r="F88" s="36" t="s">
        <v>48</v>
      </c>
    </row>
    <row r="89" spans="1:6" x14ac:dyDescent="0.35">
      <c r="A89" s="35">
        <v>45794</v>
      </c>
      <c r="B89" s="23"/>
      <c r="C89" s="23">
        <v>400</v>
      </c>
      <c r="D89" s="23">
        <f>Table2345345687911121514161718192021222324252627283456789101134567891011123511[[#This Row],[Cash]]+Table2345345687911121514161718192021222324252627283456789101134567891011123511[[#This Row],[Account Transfer]]</f>
        <v>400</v>
      </c>
      <c r="E89" s="22" t="s">
        <v>237</v>
      </c>
      <c r="F89" s="36" t="s">
        <v>48</v>
      </c>
    </row>
    <row r="90" spans="1:6" x14ac:dyDescent="0.35">
      <c r="A90" s="35">
        <v>45794</v>
      </c>
      <c r="B90" s="23">
        <v>1000</v>
      </c>
      <c r="C90" s="23"/>
      <c r="D90" s="23">
        <f>Table2345345687911121514161718192021222324252627283456789101134567891011123511[[#This Row],[Cash]]+Table2345345687911121514161718192021222324252627283456789101134567891011123511[[#This Row],[Account Transfer]]</f>
        <v>1000</v>
      </c>
      <c r="E90" s="22" t="s">
        <v>69</v>
      </c>
      <c r="F90" s="36" t="s">
        <v>69</v>
      </c>
    </row>
    <row r="91" spans="1:6" x14ac:dyDescent="0.35">
      <c r="A91" s="35">
        <v>45794</v>
      </c>
      <c r="B91" s="23">
        <v>1000</v>
      </c>
      <c r="C91" s="23"/>
      <c r="D91" s="23">
        <f>Table2345345687911121514161718192021222324252627283456789101134567891011123511[[#This Row],[Cash]]+Table2345345687911121514161718192021222324252627283456789101134567891011123511[[#This Row],[Account Transfer]]</f>
        <v>1000</v>
      </c>
      <c r="E91" s="22" t="s">
        <v>204</v>
      </c>
      <c r="F91" s="36" t="s">
        <v>48</v>
      </c>
    </row>
    <row r="92" spans="1:6" x14ac:dyDescent="0.35">
      <c r="A92" s="35">
        <v>45795</v>
      </c>
      <c r="B92" s="23">
        <v>300</v>
      </c>
      <c r="C92" s="23"/>
      <c r="D92" s="23">
        <f>Table2345345687911121514161718192021222324252627283456789101134567891011123511[[#This Row],[Cash]]+Table2345345687911121514161718192021222324252627283456789101134567891011123511[[#This Row],[Account Transfer]]</f>
        <v>300</v>
      </c>
      <c r="E92" s="22" t="s">
        <v>234</v>
      </c>
      <c r="F92" s="36" t="s">
        <v>48</v>
      </c>
    </row>
    <row r="93" spans="1:6" x14ac:dyDescent="0.35">
      <c r="A93" s="35">
        <v>45795</v>
      </c>
      <c r="B93" s="23">
        <v>130</v>
      </c>
      <c r="C93" s="23"/>
      <c r="D93" s="23">
        <f>Table2345345687911121514161718192021222324252627283456789101134567891011123511[[#This Row],[Cash]]+Table2345345687911121514161718192021222324252627283456789101134567891011123511[[#This Row],[Account Transfer]]</f>
        <v>130</v>
      </c>
      <c r="E93" s="22" t="s">
        <v>226</v>
      </c>
      <c r="F93" s="36" t="s">
        <v>48</v>
      </c>
    </row>
    <row r="94" spans="1:6" x14ac:dyDescent="0.35">
      <c r="A94" s="35">
        <v>45795</v>
      </c>
      <c r="B94" s="23">
        <v>1000</v>
      </c>
      <c r="C94" s="23"/>
      <c r="D94" s="23">
        <f>Table2345345687911121514161718192021222324252627283456789101134567891011123511[[#This Row],[Cash]]+Table2345345687911121514161718192021222324252627283456789101134567891011123511[[#This Row],[Account Transfer]]</f>
        <v>1000</v>
      </c>
      <c r="E94" s="22" t="s">
        <v>69</v>
      </c>
      <c r="F94" s="36" t="s">
        <v>69</v>
      </c>
    </row>
    <row r="95" spans="1:6" x14ac:dyDescent="0.35">
      <c r="A95" s="35">
        <v>45795</v>
      </c>
      <c r="B95" s="23"/>
      <c r="C95" s="23">
        <v>8000</v>
      </c>
      <c r="D95" s="23">
        <f>Table2345345687911121514161718192021222324252627283456789101134567891011123511[[#This Row],[Cash]]+Table2345345687911121514161718192021222324252627283456789101134567891011123511[[#This Row],[Account Transfer]]</f>
        <v>8000</v>
      </c>
      <c r="E95" s="22" t="s">
        <v>238</v>
      </c>
      <c r="F95" s="36" t="s">
        <v>48</v>
      </c>
    </row>
    <row r="96" spans="1:6" x14ac:dyDescent="0.35">
      <c r="A96" s="35">
        <v>45795</v>
      </c>
      <c r="B96" s="23"/>
      <c r="C96" s="23">
        <v>2500</v>
      </c>
      <c r="D96" s="23">
        <f>Table2345345687911121514161718192021222324252627283456789101134567891011123511[[#This Row],[Cash]]+Table2345345687911121514161718192021222324252627283456789101134567891011123511[[#This Row],[Account Transfer]]</f>
        <v>2500</v>
      </c>
      <c r="E96" s="22" t="s">
        <v>239</v>
      </c>
      <c r="F96" s="36" t="s">
        <v>48</v>
      </c>
    </row>
    <row r="97" spans="1:6" x14ac:dyDescent="0.35">
      <c r="A97" s="35">
        <v>45795</v>
      </c>
      <c r="B97" s="23"/>
      <c r="C97" s="23">
        <v>30000</v>
      </c>
      <c r="D97" s="23">
        <f>Table2345345687911121514161718192021222324252627283456789101134567891011123511[[#This Row],[Cash]]+Table2345345687911121514161718192021222324252627283456789101134567891011123511[[#This Row],[Account Transfer]]</f>
        <v>30000</v>
      </c>
      <c r="E97" s="22" t="s">
        <v>240</v>
      </c>
      <c r="F97" s="36" t="s">
        <v>45</v>
      </c>
    </row>
    <row r="98" spans="1:6" x14ac:dyDescent="0.35">
      <c r="A98" s="35">
        <v>45796</v>
      </c>
      <c r="B98" s="23"/>
      <c r="C98" s="23">
        <v>380</v>
      </c>
      <c r="D98" s="23">
        <f>Table2345345687911121514161718192021222324252627283456789101134567891011123511[[#This Row],[Cash]]+Table2345345687911121514161718192021222324252627283456789101134567891011123511[[#This Row],[Account Transfer]]</f>
        <v>380</v>
      </c>
      <c r="E98" s="22" t="s">
        <v>241</v>
      </c>
      <c r="F98" s="36" t="s">
        <v>45</v>
      </c>
    </row>
    <row r="99" spans="1:6" x14ac:dyDescent="0.35">
      <c r="A99" s="35">
        <v>45796</v>
      </c>
      <c r="B99" s="23">
        <v>380</v>
      </c>
      <c r="C99" s="23"/>
      <c r="D99" s="23">
        <f>Table2345345687911121514161718192021222324252627283456789101134567891011123511[[#This Row],[Cash]]+Table2345345687911121514161718192021222324252627283456789101134567891011123511[[#This Row],[Account Transfer]]</f>
        <v>380</v>
      </c>
      <c r="E99" s="22" t="s">
        <v>241</v>
      </c>
      <c r="F99" s="36" t="s">
        <v>45</v>
      </c>
    </row>
    <row r="100" spans="1:6" x14ac:dyDescent="0.35">
      <c r="A100" s="35">
        <v>45796</v>
      </c>
      <c r="B100" s="23">
        <v>300</v>
      </c>
      <c r="C100" s="23"/>
      <c r="D100" s="23">
        <f>Table2345345687911121514161718192021222324252627283456789101134567891011123511[[#This Row],[Cash]]+Table2345345687911121514161718192021222324252627283456789101134567891011123511[[#This Row],[Account Transfer]]</f>
        <v>300</v>
      </c>
      <c r="E100" s="22" t="s">
        <v>26</v>
      </c>
      <c r="F100" s="36" t="s">
        <v>48</v>
      </c>
    </row>
    <row r="101" spans="1:6" x14ac:dyDescent="0.35">
      <c r="A101" s="35">
        <v>45797</v>
      </c>
      <c r="B101" s="23">
        <v>200</v>
      </c>
      <c r="C101" s="23"/>
      <c r="D101" s="23">
        <f>Table2345345687911121514161718192021222324252627283456789101134567891011123511[[#This Row],[Cash]]+Table2345345687911121514161718192021222324252627283456789101134567891011123511[[#This Row],[Account Transfer]]</f>
        <v>200</v>
      </c>
      <c r="E101" s="22" t="s">
        <v>219</v>
      </c>
      <c r="F101" s="36" t="s">
        <v>48</v>
      </c>
    </row>
    <row r="102" spans="1:6" x14ac:dyDescent="0.35">
      <c r="A102" s="35">
        <v>45797</v>
      </c>
      <c r="B102" s="23">
        <v>200</v>
      </c>
      <c r="C102" s="23"/>
      <c r="D102" s="23">
        <f>Table2345345687911121514161718192021222324252627283456789101134567891011123511[[#This Row],[Cash]]+Table2345345687911121514161718192021222324252627283456789101134567891011123511[[#This Row],[Account Transfer]]</f>
        <v>200</v>
      </c>
      <c r="E102" s="22" t="s">
        <v>204</v>
      </c>
      <c r="F102" s="36" t="s">
        <v>48</v>
      </c>
    </row>
    <row r="103" spans="1:6" x14ac:dyDescent="0.35">
      <c r="A103" s="35">
        <v>45797</v>
      </c>
      <c r="B103" s="23">
        <v>1000</v>
      </c>
      <c r="C103" s="23"/>
      <c r="D103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03" s="22" t="s">
        <v>97</v>
      </c>
      <c r="F103" s="36" t="s">
        <v>45</v>
      </c>
    </row>
    <row r="104" spans="1:6" x14ac:dyDescent="0.35">
      <c r="A104" s="35">
        <v>45797</v>
      </c>
      <c r="B104" s="23">
        <v>100</v>
      </c>
      <c r="C104" s="23"/>
      <c r="D104" s="23">
        <f>Table2345345687911121514161718192021222324252627283456789101134567891011123511[[#This Row],[Cash]]+Table2345345687911121514161718192021222324252627283456789101134567891011123511[[#This Row],[Account Transfer]]</f>
        <v>100</v>
      </c>
      <c r="E104" s="22" t="s">
        <v>26</v>
      </c>
      <c r="F104" s="36" t="s">
        <v>48</v>
      </c>
    </row>
    <row r="105" spans="1:6" x14ac:dyDescent="0.35">
      <c r="A105" s="35">
        <v>45797</v>
      </c>
      <c r="B105" s="23">
        <v>380</v>
      </c>
      <c r="C105" s="23"/>
      <c r="D105" s="23">
        <f>Table2345345687911121514161718192021222324252627283456789101134567891011123511[[#This Row],[Cash]]+Table2345345687911121514161718192021222324252627283456789101134567891011123511[[#This Row],[Account Transfer]]</f>
        <v>380</v>
      </c>
      <c r="E105" s="22" t="s">
        <v>241</v>
      </c>
      <c r="F105" s="36" t="s">
        <v>45</v>
      </c>
    </row>
    <row r="106" spans="1:6" x14ac:dyDescent="0.35">
      <c r="A106" s="35">
        <v>45797</v>
      </c>
      <c r="B106" s="23">
        <v>50</v>
      </c>
      <c r="C106" s="23"/>
      <c r="D106" s="23">
        <f>Table2345345687911121514161718192021222324252627283456789101134567891011123511[[#This Row],[Cash]]+Table2345345687911121514161718192021222324252627283456789101134567891011123511[[#This Row],[Account Transfer]]</f>
        <v>50</v>
      </c>
      <c r="E106" s="22" t="s">
        <v>242</v>
      </c>
      <c r="F106" s="36" t="s">
        <v>74</v>
      </c>
    </row>
    <row r="107" spans="1:6" x14ac:dyDescent="0.35">
      <c r="A107" s="35">
        <v>45797</v>
      </c>
      <c r="B107" s="23">
        <v>100</v>
      </c>
      <c r="C107" s="23"/>
      <c r="D107" s="23">
        <f>Table2345345687911121514161718192021222324252627283456789101134567891011123511[[#This Row],[Cash]]+Table2345345687911121514161718192021222324252627283456789101134567891011123511[[#This Row],[Account Transfer]]</f>
        <v>100</v>
      </c>
      <c r="E107" s="22" t="s">
        <v>220</v>
      </c>
      <c r="F107" s="36" t="s">
        <v>48</v>
      </c>
    </row>
    <row r="108" spans="1:6" x14ac:dyDescent="0.35">
      <c r="A108" s="35">
        <v>45797</v>
      </c>
      <c r="B108" s="23">
        <v>120</v>
      </c>
      <c r="C108" s="23"/>
      <c r="D108" s="23">
        <f>Table2345345687911121514161718192021222324252627283456789101134567891011123511[[#This Row],[Cash]]+Table2345345687911121514161718192021222324252627283456789101134567891011123511[[#This Row],[Account Transfer]]</f>
        <v>120</v>
      </c>
      <c r="E108" s="22" t="s">
        <v>26</v>
      </c>
      <c r="F108" s="36" t="s">
        <v>74</v>
      </c>
    </row>
    <row r="109" spans="1:6" x14ac:dyDescent="0.35">
      <c r="A109" s="35">
        <v>45797</v>
      </c>
      <c r="B109" s="23"/>
      <c r="C109" s="23">
        <v>60000</v>
      </c>
      <c r="D109" s="23">
        <f>Table2345345687911121514161718192021222324252627283456789101134567891011123511[[#This Row],[Cash]]+Table2345345687911121514161718192021222324252627283456789101134567891011123511[[#This Row],[Account Transfer]]</f>
        <v>60000</v>
      </c>
      <c r="E109" s="22" t="s">
        <v>250</v>
      </c>
      <c r="F109" s="36" t="s">
        <v>75</v>
      </c>
    </row>
    <row r="110" spans="1:6" x14ac:dyDescent="0.35">
      <c r="A110" s="35">
        <v>45798</v>
      </c>
      <c r="B110" s="23">
        <v>2000</v>
      </c>
      <c r="C110" s="23"/>
      <c r="D110" s="23">
        <f>Table2345345687911121514161718192021222324252627283456789101134567891011123511[[#This Row],[Cash]]+Table2345345687911121514161718192021222324252627283456789101134567891011123511[[#This Row],[Account Transfer]]</f>
        <v>2000</v>
      </c>
      <c r="E110" s="22" t="s">
        <v>243</v>
      </c>
      <c r="F110" s="36" t="s">
        <v>85</v>
      </c>
    </row>
    <row r="111" spans="1:6" x14ac:dyDescent="0.35">
      <c r="A111" s="35">
        <v>45798</v>
      </c>
      <c r="B111" s="23">
        <v>380</v>
      </c>
      <c r="C111" s="23"/>
      <c r="D111" s="23">
        <f>Table2345345687911121514161718192021222324252627283456789101134567891011123511[[#This Row],[Cash]]+Table2345345687911121514161718192021222324252627283456789101134567891011123511[[#This Row],[Account Transfer]]</f>
        <v>380</v>
      </c>
      <c r="E111" s="22" t="s">
        <v>241</v>
      </c>
      <c r="F111" s="36" t="s">
        <v>45</v>
      </c>
    </row>
    <row r="112" spans="1:6" x14ac:dyDescent="0.35">
      <c r="A112" s="35">
        <v>45798</v>
      </c>
      <c r="B112" s="23">
        <v>500</v>
      </c>
      <c r="C112" s="23"/>
      <c r="D112" s="23">
        <f>Table2345345687911121514161718192021222324252627283456789101134567891011123511[[#This Row],[Cash]]+Table2345345687911121514161718192021222324252627283456789101134567891011123511[[#This Row],[Account Transfer]]</f>
        <v>500</v>
      </c>
      <c r="E112" s="22" t="s">
        <v>129</v>
      </c>
      <c r="F112" s="36" t="s">
        <v>42</v>
      </c>
    </row>
    <row r="113" spans="1:6" x14ac:dyDescent="0.35">
      <c r="A113" s="35">
        <v>45798</v>
      </c>
      <c r="B113" s="23">
        <v>1000</v>
      </c>
      <c r="C113" s="23"/>
      <c r="D113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13" s="22" t="s">
        <v>69</v>
      </c>
      <c r="F113" s="36" t="s">
        <v>69</v>
      </c>
    </row>
    <row r="114" spans="1:6" x14ac:dyDescent="0.35">
      <c r="A114" s="35">
        <v>45798</v>
      </c>
      <c r="B114" s="23"/>
      <c r="C114" s="23">
        <v>5500</v>
      </c>
      <c r="D114" s="23">
        <f>Table2345345687911121514161718192021222324252627283456789101134567891011123511[[#This Row],[Cash]]+Table2345345687911121514161718192021222324252627283456789101134567891011123511[[#This Row],[Account Transfer]]</f>
        <v>5500</v>
      </c>
      <c r="E114" s="22" t="s">
        <v>245</v>
      </c>
      <c r="F114" s="36" t="s">
        <v>244</v>
      </c>
    </row>
    <row r="115" spans="1:6" x14ac:dyDescent="0.35">
      <c r="A115" s="35">
        <v>45798</v>
      </c>
      <c r="B115" s="23"/>
      <c r="C115" s="23">
        <v>900</v>
      </c>
      <c r="D115" s="23">
        <f>Table2345345687911121514161718192021222324252627283456789101134567891011123511[[#This Row],[Cash]]+Table2345345687911121514161718192021222324252627283456789101134567891011123511[[#This Row],[Account Transfer]]</f>
        <v>900</v>
      </c>
      <c r="E115" s="22" t="s">
        <v>245</v>
      </c>
      <c r="F115" s="36" t="s">
        <v>244</v>
      </c>
    </row>
    <row r="116" spans="1:6" x14ac:dyDescent="0.35">
      <c r="A116" s="35">
        <v>45799</v>
      </c>
      <c r="B116" s="23"/>
      <c r="C116" s="23">
        <v>30000</v>
      </c>
      <c r="D116" s="23">
        <f>Table2345345687911121514161718192021222324252627283456789101134567891011123511[[#This Row],[Cash]]+Table2345345687911121514161718192021222324252627283456789101134567891011123511[[#This Row],[Account Transfer]]</f>
        <v>30000</v>
      </c>
      <c r="E116" s="22" t="s">
        <v>173</v>
      </c>
      <c r="F116" s="36" t="s">
        <v>45</v>
      </c>
    </row>
    <row r="117" spans="1:6" x14ac:dyDescent="0.35">
      <c r="A117" s="35">
        <v>45799</v>
      </c>
      <c r="B117" s="23"/>
      <c r="C117" s="23">
        <v>11000</v>
      </c>
      <c r="D117" s="23">
        <f>Table2345345687911121514161718192021222324252627283456789101134567891011123511[[#This Row],[Cash]]+Table2345345687911121514161718192021222324252627283456789101134567891011123511[[#This Row],[Account Transfer]]</f>
        <v>11000</v>
      </c>
      <c r="E117" s="22" t="s">
        <v>246</v>
      </c>
      <c r="F117" s="36" t="s">
        <v>45</v>
      </c>
    </row>
    <row r="118" spans="1:6" x14ac:dyDescent="0.35">
      <c r="A118" s="35">
        <v>45799</v>
      </c>
      <c r="B118" s="23"/>
      <c r="C118" s="23">
        <v>26000</v>
      </c>
      <c r="D118" s="23">
        <f>Table2345345687911121514161718192021222324252627283456789101134567891011123511[[#This Row],[Cash]]+Table2345345687911121514161718192021222324252627283456789101134567891011123511[[#This Row],[Account Transfer]]</f>
        <v>26000</v>
      </c>
      <c r="E118" s="22" t="s">
        <v>247</v>
      </c>
      <c r="F118" s="36" t="s">
        <v>45</v>
      </c>
    </row>
    <row r="119" spans="1:6" x14ac:dyDescent="0.35">
      <c r="A119" s="35">
        <v>45799</v>
      </c>
      <c r="B119" s="23"/>
      <c r="C119" s="23">
        <v>7000</v>
      </c>
      <c r="D119" s="23">
        <f>Table2345345687911121514161718192021222324252627283456789101134567891011123511[[#This Row],[Cash]]+Table2345345687911121514161718192021222324252627283456789101134567891011123511[[#This Row],[Account Transfer]]</f>
        <v>7000</v>
      </c>
      <c r="E119" s="22" t="s">
        <v>248</v>
      </c>
      <c r="F119" s="36" t="s">
        <v>45</v>
      </c>
    </row>
    <row r="120" spans="1:6" x14ac:dyDescent="0.35">
      <c r="A120" s="35">
        <v>45799</v>
      </c>
      <c r="B120" s="23">
        <v>50000</v>
      </c>
      <c r="C120" s="23"/>
      <c r="D120" s="23">
        <f>Table2345345687911121514161718192021222324252627283456789101134567891011123511[[#This Row],[Cash]]+Table2345345687911121514161718192021222324252627283456789101134567891011123511[[#This Row],[Account Transfer]]</f>
        <v>50000</v>
      </c>
      <c r="E120" s="22" t="s">
        <v>249</v>
      </c>
      <c r="F120" s="36" t="s">
        <v>75</v>
      </c>
    </row>
    <row r="121" spans="1:6" x14ac:dyDescent="0.35">
      <c r="A121" s="35">
        <v>45799</v>
      </c>
      <c r="B121" s="23">
        <v>430</v>
      </c>
      <c r="C121" s="23"/>
      <c r="D121" s="23">
        <f>Table2345345687911121514161718192021222324252627283456789101134567891011123511[[#This Row],[Cash]]+Table2345345687911121514161718192021222324252627283456789101134567891011123511[[#This Row],[Account Transfer]]</f>
        <v>430</v>
      </c>
      <c r="E121" s="22" t="s">
        <v>251</v>
      </c>
      <c r="F121" s="36" t="s">
        <v>78</v>
      </c>
    </row>
    <row r="122" spans="1:6" x14ac:dyDescent="0.35">
      <c r="A122" s="35">
        <v>45799</v>
      </c>
      <c r="B122" s="23">
        <v>100</v>
      </c>
      <c r="C122" s="23"/>
      <c r="D122" s="23">
        <f>Table2345345687911121514161718192021222324252627283456789101134567891011123511[[#This Row],[Cash]]+Table2345345687911121514161718192021222324252627283456789101134567891011123511[[#This Row],[Account Transfer]]</f>
        <v>100</v>
      </c>
      <c r="E122" s="22" t="s">
        <v>220</v>
      </c>
      <c r="F122" s="36" t="s">
        <v>48</v>
      </c>
    </row>
    <row r="123" spans="1:6" x14ac:dyDescent="0.35">
      <c r="A123" s="35">
        <v>45799</v>
      </c>
      <c r="B123" s="23">
        <v>650</v>
      </c>
      <c r="C123" s="23"/>
      <c r="D123" s="23">
        <f>Table2345345687911121514161718192021222324252627283456789101134567891011123511[[#This Row],[Cash]]+Table2345345687911121514161718192021222324252627283456789101134567891011123511[[#This Row],[Account Transfer]]</f>
        <v>650</v>
      </c>
      <c r="E123" s="22" t="s">
        <v>19</v>
      </c>
      <c r="F123" s="36" t="s">
        <v>48</v>
      </c>
    </row>
    <row r="124" spans="1:6" x14ac:dyDescent="0.35">
      <c r="A124" s="35">
        <v>45799</v>
      </c>
      <c r="B124" s="23">
        <v>100</v>
      </c>
      <c r="C124" s="23"/>
      <c r="D124" s="23">
        <f>Table2345345687911121514161718192021222324252627283456789101134567891011123511[[#This Row],[Cash]]+Table2345345687911121514161718192021222324252627283456789101134567891011123511[[#This Row],[Account Transfer]]</f>
        <v>100</v>
      </c>
      <c r="E124" s="22" t="s">
        <v>26</v>
      </c>
      <c r="F124" s="36" t="s">
        <v>48</v>
      </c>
    </row>
    <row r="125" spans="1:6" x14ac:dyDescent="0.35">
      <c r="A125" s="35">
        <v>45800</v>
      </c>
      <c r="B125" s="23">
        <v>500</v>
      </c>
      <c r="C125" s="23"/>
      <c r="D125" s="23">
        <f>Table2345345687911121514161718192021222324252627283456789101134567891011123511[[#This Row],[Cash]]+Table2345345687911121514161718192021222324252627283456789101134567891011123511[[#This Row],[Account Transfer]]</f>
        <v>500</v>
      </c>
      <c r="E125" s="22" t="s">
        <v>148</v>
      </c>
      <c r="F125" s="36" t="s">
        <v>48</v>
      </c>
    </row>
    <row r="126" spans="1:6" x14ac:dyDescent="0.35">
      <c r="A126" s="35">
        <v>45800</v>
      </c>
      <c r="B126" s="23">
        <v>120</v>
      </c>
      <c r="C126" s="23"/>
      <c r="D126" s="23">
        <f>Table2345345687911121514161718192021222324252627283456789101134567891011123511[[#This Row],[Cash]]+Table2345345687911121514161718192021222324252627283456789101134567891011123511[[#This Row],[Account Transfer]]</f>
        <v>120</v>
      </c>
      <c r="E126" s="22" t="s">
        <v>26</v>
      </c>
      <c r="F126" s="36" t="s">
        <v>48</v>
      </c>
    </row>
    <row r="127" spans="1:6" x14ac:dyDescent="0.35">
      <c r="A127" s="35">
        <v>45800</v>
      </c>
      <c r="B127" s="23">
        <v>1000</v>
      </c>
      <c r="C127" s="23"/>
      <c r="D127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27" s="22" t="s">
        <v>69</v>
      </c>
      <c r="F127" s="36" t="s">
        <v>69</v>
      </c>
    </row>
    <row r="128" spans="1:6" x14ac:dyDescent="0.35">
      <c r="A128" s="35">
        <v>45800</v>
      </c>
      <c r="B128" s="23">
        <v>500</v>
      </c>
      <c r="C128" s="23"/>
      <c r="D128" s="23">
        <f>Table2345345687911121514161718192021222324252627283456789101134567891011123511[[#This Row],[Cash]]+Table2345345687911121514161718192021222324252627283456789101134567891011123511[[#This Row],[Account Transfer]]</f>
        <v>500</v>
      </c>
      <c r="E128" s="22" t="s">
        <v>113</v>
      </c>
      <c r="F128" s="36" t="s">
        <v>113</v>
      </c>
    </row>
    <row r="129" spans="1:6" x14ac:dyDescent="0.35">
      <c r="A129" s="35">
        <v>45801</v>
      </c>
      <c r="B129" s="23">
        <v>1500</v>
      </c>
      <c r="C129" s="23"/>
      <c r="D129" s="23">
        <f>Table2345345687911121514161718192021222324252627283456789101134567891011123511[[#This Row],[Cash]]+Table2345345687911121514161718192021222324252627283456789101134567891011123511[[#This Row],[Account Transfer]]</f>
        <v>1500</v>
      </c>
      <c r="E129" s="22" t="s">
        <v>129</v>
      </c>
      <c r="F129" s="36" t="s">
        <v>42</v>
      </c>
    </row>
    <row r="130" spans="1:6" x14ac:dyDescent="0.35">
      <c r="A130" s="35">
        <v>45801</v>
      </c>
      <c r="B130" s="23">
        <v>750</v>
      </c>
      <c r="C130" s="23"/>
      <c r="D130" s="23">
        <f>Table2345345687911121514161718192021222324252627283456789101134567891011123511[[#This Row],[Cash]]+Table2345345687911121514161718192021222324252627283456789101134567891011123511[[#This Row],[Account Transfer]]</f>
        <v>750</v>
      </c>
      <c r="E130" s="22" t="s">
        <v>97</v>
      </c>
      <c r="F130" s="36" t="s">
        <v>45</v>
      </c>
    </row>
    <row r="131" spans="1:6" x14ac:dyDescent="0.35">
      <c r="A131" s="35">
        <v>45801</v>
      </c>
      <c r="B131" s="23">
        <v>150</v>
      </c>
      <c r="C131" s="23"/>
      <c r="D131" s="23">
        <f>Table2345345687911121514161718192021222324252627283456789101134567891011123511[[#This Row],[Cash]]+Table2345345687911121514161718192021222324252627283456789101134567891011123511[[#This Row],[Account Transfer]]</f>
        <v>150</v>
      </c>
      <c r="E131" s="22" t="s">
        <v>26</v>
      </c>
      <c r="F131" s="36" t="s">
        <v>48</v>
      </c>
    </row>
    <row r="132" spans="1:6" x14ac:dyDescent="0.35">
      <c r="A132" s="35">
        <v>45801</v>
      </c>
      <c r="B132" s="23">
        <v>1000</v>
      </c>
      <c r="C132" s="23"/>
      <c r="D132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32" s="22" t="s">
        <v>69</v>
      </c>
      <c r="F132" s="36" t="s">
        <v>69</v>
      </c>
    </row>
    <row r="133" spans="1:6" x14ac:dyDescent="0.35">
      <c r="A133" s="35">
        <v>45802</v>
      </c>
      <c r="B133" s="23">
        <v>300</v>
      </c>
      <c r="C133" s="23"/>
      <c r="D133" s="23">
        <f>Table2345345687911121514161718192021222324252627283456789101134567891011123511[[#This Row],[Cash]]+Table2345345687911121514161718192021222324252627283456789101134567891011123511[[#This Row],[Account Transfer]]</f>
        <v>300</v>
      </c>
      <c r="E133" s="22" t="s">
        <v>148</v>
      </c>
      <c r="F133" s="36" t="s">
        <v>48</v>
      </c>
    </row>
    <row r="134" spans="1:6" x14ac:dyDescent="0.35">
      <c r="A134" s="35">
        <v>45802</v>
      </c>
      <c r="B134" s="23">
        <v>100</v>
      </c>
      <c r="C134" s="23"/>
      <c r="D134" s="23">
        <f>Table2345345687911121514161718192021222324252627283456789101134567891011123511[[#This Row],[Cash]]+Table2345345687911121514161718192021222324252627283456789101134567891011123511[[#This Row],[Account Transfer]]</f>
        <v>100</v>
      </c>
      <c r="E134" s="22" t="s">
        <v>26</v>
      </c>
      <c r="F134" s="36" t="s">
        <v>48</v>
      </c>
    </row>
    <row r="135" spans="1:6" x14ac:dyDescent="0.35">
      <c r="A135" s="35">
        <v>45802</v>
      </c>
      <c r="B135" s="23"/>
      <c r="C135" s="23">
        <v>700</v>
      </c>
      <c r="D135" s="23">
        <f>Table2345345687911121514161718192021222324252627283456789101134567891011123511[[#This Row],[Cash]]+Table2345345687911121514161718192021222324252627283456789101134567891011123511[[#This Row],[Account Transfer]]</f>
        <v>700</v>
      </c>
      <c r="E135" s="22" t="s">
        <v>113</v>
      </c>
      <c r="F135" s="36" t="s">
        <v>45</v>
      </c>
    </row>
    <row r="136" spans="1:6" x14ac:dyDescent="0.35">
      <c r="A136" s="35">
        <v>45802</v>
      </c>
      <c r="B136" s="23">
        <v>200</v>
      </c>
      <c r="C136" s="23"/>
      <c r="D136" s="23">
        <f>Table2345345687911121514161718192021222324252627283456789101134567891011123511[[#This Row],[Cash]]+Table2345345687911121514161718192021222324252627283456789101134567891011123511[[#This Row],[Account Transfer]]</f>
        <v>200</v>
      </c>
      <c r="E136" s="22" t="s">
        <v>215</v>
      </c>
      <c r="F136" s="36" t="s">
        <v>51</v>
      </c>
    </row>
    <row r="137" spans="1:6" x14ac:dyDescent="0.35">
      <c r="A137" s="35">
        <v>45802</v>
      </c>
      <c r="B137" s="23"/>
      <c r="C137" s="23">
        <v>360</v>
      </c>
      <c r="D137" s="23">
        <f>Table2345345687911121514161718192021222324252627283456789101134567891011123511[[#This Row],[Cash]]+Table2345345687911121514161718192021222324252627283456789101134567891011123511[[#This Row],[Account Transfer]]</f>
        <v>360</v>
      </c>
      <c r="E137" s="22" t="s">
        <v>71</v>
      </c>
      <c r="F137" s="36" t="s">
        <v>51</v>
      </c>
    </row>
    <row r="138" spans="1:6" x14ac:dyDescent="0.35">
      <c r="A138" s="35">
        <v>45803</v>
      </c>
      <c r="B138" s="23">
        <v>7500</v>
      </c>
      <c r="C138" s="23"/>
      <c r="D138" s="23">
        <f>Table2345345687911121514161718192021222324252627283456789101134567891011123511[[#This Row],[Cash]]+Table2345345687911121514161718192021222324252627283456789101134567891011123511[[#This Row],[Account Transfer]]</f>
        <v>7500</v>
      </c>
      <c r="E138" s="22" t="s">
        <v>252</v>
      </c>
      <c r="F138" s="36" t="s">
        <v>45</v>
      </c>
    </row>
    <row r="139" spans="1:6" x14ac:dyDescent="0.35">
      <c r="A139" s="35">
        <v>45803</v>
      </c>
      <c r="B139" s="23"/>
      <c r="C139" s="23">
        <v>1000</v>
      </c>
      <c r="D139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39" s="22" t="s">
        <v>69</v>
      </c>
      <c r="F139" s="36" t="s">
        <v>69</v>
      </c>
    </row>
    <row r="140" spans="1:6" x14ac:dyDescent="0.35">
      <c r="A140" s="35">
        <v>45803</v>
      </c>
      <c r="B140" s="23">
        <v>120</v>
      </c>
      <c r="C140" s="23"/>
      <c r="D140" s="23">
        <f>Table2345345687911121514161718192021222324252627283456789101134567891011123511[[#This Row],[Cash]]+Table2345345687911121514161718192021222324252627283456789101134567891011123511[[#This Row],[Account Transfer]]</f>
        <v>120</v>
      </c>
      <c r="E140" s="22" t="s">
        <v>26</v>
      </c>
      <c r="F140" s="36" t="s">
        <v>48</v>
      </c>
    </row>
    <row r="141" spans="1:6" x14ac:dyDescent="0.35">
      <c r="A141" s="35">
        <v>45803</v>
      </c>
      <c r="B141" s="23">
        <v>100</v>
      </c>
      <c r="C141" s="23"/>
      <c r="D141" s="23">
        <f>Table2345345687911121514161718192021222324252627283456789101134567891011123511[[#This Row],[Cash]]+Table2345345687911121514161718192021222324252627283456789101134567891011123511[[#This Row],[Account Transfer]]</f>
        <v>100</v>
      </c>
      <c r="E141" s="22" t="s">
        <v>129</v>
      </c>
      <c r="F141" s="36" t="s">
        <v>42</v>
      </c>
    </row>
    <row r="142" spans="1:6" x14ac:dyDescent="0.35">
      <c r="A142" s="35">
        <v>45804</v>
      </c>
      <c r="B142" s="23">
        <v>400</v>
      </c>
      <c r="C142" s="23"/>
      <c r="D142" s="23">
        <f>Table2345345687911121514161718192021222324252627283456789101134567891011123511[[#This Row],[Cash]]+Table2345345687911121514161718192021222324252627283456789101134567891011123511[[#This Row],[Account Transfer]]</f>
        <v>400</v>
      </c>
      <c r="E142" s="22" t="s">
        <v>129</v>
      </c>
      <c r="F142" s="36" t="s">
        <v>42</v>
      </c>
    </row>
    <row r="143" spans="1:6" x14ac:dyDescent="0.35">
      <c r="A143" s="35">
        <v>45804</v>
      </c>
      <c r="B143" s="23">
        <v>125</v>
      </c>
      <c r="C143" s="23"/>
      <c r="D143" s="23">
        <f>Table2345345687911121514161718192021222324252627283456789101134567891011123511[[#This Row],[Cash]]+Table2345345687911121514161718192021222324252627283456789101134567891011123511[[#This Row],[Account Transfer]]</f>
        <v>125</v>
      </c>
      <c r="E143" s="22" t="s">
        <v>26</v>
      </c>
      <c r="F143" s="36" t="s">
        <v>42</v>
      </c>
    </row>
    <row r="144" spans="1:6" x14ac:dyDescent="0.35">
      <c r="A144" s="35">
        <v>45804</v>
      </c>
      <c r="B144" s="23">
        <v>70</v>
      </c>
      <c r="C144" s="23"/>
      <c r="D144" s="23">
        <f>Table2345345687911121514161718192021222324252627283456789101134567891011123511[[#This Row],[Cash]]+Table2345345687911121514161718192021222324252627283456789101134567891011123511[[#This Row],[Account Transfer]]</f>
        <v>70</v>
      </c>
      <c r="E144" s="22" t="s">
        <v>253</v>
      </c>
      <c r="F144" s="36" t="s">
        <v>48</v>
      </c>
    </row>
    <row r="145" spans="1:6" x14ac:dyDescent="0.35">
      <c r="A145" s="35">
        <v>45804</v>
      </c>
      <c r="B145" s="23">
        <v>120</v>
      </c>
      <c r="C145" s="23"/>
      <c r="D145" s="23">
        <f>Table2345345687911121514161718192021222324252627283456789101134567891011123511[[#This Row],[Cash]]+Table2345345687911121514161718192021222324252627283456789101134567891011123511[[#This Row],[Account Transfer]]</f>
        <v>120</v>
      </c>
      <c r="E145" s="22" t="s">
        <v>26</v>
      </c>
      <c r="F145" s="36" t="s">
        <v>48</v>
      </c>
    </row>
    <row r="146" spans="1:6" x14ac:dyDescent="0.35">
      <c r="A146" s="35">
        <v>45804</v>
      </c>
      <c r="B146" s="23">
        <v>1000</v>
      </c>
      <c r="C146" s="23"/>
      <c r="D146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46" s="22" t="s">
        <v>69</v>
      </c>
      <c r="F146" s="36" t="s">
        <v>69</v>
      </c>
    </row>
    <row r="147" spans="1:6" x14ac:dyDescent="0.35">
      <c r="A147" s="35">
        <v>45804</v>
      </c>
      <c r="B147" s="23"/>
      <c r="C147" s="23">
        <v>3200</v>
      </c>
      <c r="D147" s="23">
        <f>Table2345345687911121514161718192021222324252627283456789101134567891011123511[[#This Row],[Cash]]+Table2345345687911121514161718192021222324252627283456789101134567891011123511[[#This Row],[Account Transfer]]</f>
        <v>3200</v>
      </c>
      <c r="E147" s="22" t="s">
        <v>254</v>
      </c>
      <c r="F147" s="36" t="s">
        <v>48</v>
      </c>
    </row>
    <row r="148" spans="1:6" x14ac:dyDescent="0.35">
      <c r="A148" s="35">
        <v>45805</v>
      </c>
      <c r="B148" s="23">
        <v>750</v>
      </c>
      <c r="C148" s="23"/>
      <c r="D148" s="23">
        <f>Table2345345687911121514161718192021222324252627283456789101134567891011123511[[#This Row],[Cash]]+Table2345345687911121514161718192021222324252627283456789101134567891011123511[[#This Row],[Account Transfer]]</f>
        <v>750</v>
      </c>
      <c r="E148" s="22" t="s">
        <v>97</v>
      </c>
      <c r="F148" s="36" t="s">
        <v>48</v>
      </c>
    </row>
    <row r="149" spans="1:6" x14ac:dyDescent="0.35">
      <c r="A149" s="35">
        <v>45805</v>
      </c>
      <c r="B149" s="23">
        <v>1000</v>
      </c>
      <c r="C149" s="23"/>
      <c r="D149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49" s="22" t="s">
        <v>204</v>
      </c>
      <c r="F149" s="36" t="s">
        <v>48</v>
      </c>
    </row>
    <row r="150" spans="1:6" x14ac:dyDescent="0.35">
      <c r="A150" s="35">
        <v>45805</v>
      </c>
      <c r="B150" s="23">
        <v>150</v>
      </c>
      <c r="C150" s="23"/>
      <c r="D150" s="23">
        <f>Table2345345687911121514161718192021222324252627283456789101134567891011123511[[#This Row],[Cash]]+Table2345345687911121514161718192021222324252627283456789101134567891011123511[[#This Row],[Account Transfer]]</f>
        <v>150</v>
      </c>
      <c r="E150" s="22" t="s">
        <v>226</v>
      </c>
      <c r="F150" s="36" t="s">
        <v>48</v>
      </c>
    </row>
    <row r="151" spans="1:6" x14ac:dyDescent="0.35">
      <c r="A151" s="35">
        <v>45805</v>
      </c>
      <c r="B151" s="23">
        <v>1000</v>
      </c>
      <c r="C151" s="23"/>
      <c r="D151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51" s="22" t="s">
        <v>69</v>
      </c>
      <c r="F151" s="36" t="s">
        <v>69</v>
      </c>
    </row>
    <row r="152" spans="1:6" x14ac:dyDescent="0.35">
      <c r="A152" s="35">
        <v>45805</v>
      </c>
      <c r="B152" s="23">
        <v>100</v>
      </c>
      <c r="C152" s="23"/>
      <c r="D152" s="23">
        <f>Table2345345687911121514161718192021222324252627283456789101134567891011123511[[#This Row],[Cash]]+Table2345345687911121514161718192021222324252627283456789101134567891011123511[[#This Row],[Account Transfer]]</f>
        <v>100</v>
      </c>
      <c r="E152" s="22" t="s">
        <v>220</v>
      </c>
      <c r="F152" s="36" t="s">
        <v>48</v>
      </c>
    </row>
    <row r="153" spans="1:6" x14ac:dyDescent="0.35">
      <c r="A153" s="35">
        <v>45805</v>
      </c>
      <c r="B153" s="23"/>
      <c r="C153" s="23">
        <v>250</v>
      </c>
      <c r="D153" s="23">
        <f>Table2345345687911121514161718192021222324252627283456789101134567891011123511[[#This Row],[Cash]]+Table2345345687911121514161718192021222324252627283456789101134567891011123511[[#This Row],[Account Transfer]]</f>
        <v>250</v>
      </c>
      <c r="E153" s="22" t="s">
        <v>255</v>
      </c>
      <c r="F153" s="36" t="s">
        <v>48</v>
      </c>
    </row>
    <row r="154" spans="1:6" x14ac:dyDescent="0.35">
      <c r="A154" s="35">
        <v>45806</v>
      </c>
      <c r="B154" s="23">
        <v>110</v>
      </c>
      <c r="C154" s="23"/>
      <c r="D154" s="23">
        <f>Table2345345687911121514161718192021222324252627283456789101134567891011123511[[#This Row],[Cash]]+Table2345345687911121514161718192021222324252627283456789101134567891011123511[[#This Row],[Account Transfer]]</f>
        <v>110</v>
      </c>
      <c r="E154" s="22" t="s">
        <v>26</v>
      </c>
      <c r="F154" s="36" t="s">
        <v>48</v>
      </c>
    </row>
    <row r="155" spans="1:6" x14ac:dyDescent="0.35">
      <c r="A155" s="35">
        <v>45806</v>
      </c>
      <c r="B155" s="23">
        <v>1000</v>
      </c>
      <c r="C155" s="23"/>
      <c r="D155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55" s="22" t="s">
        <v>69</v>
      </c>
      <c r="F155" s="36" t="s">
        <v>69</v>
      </c>
    </row>
    <row r="156" spans="1:6" x14ac:dyDescent="0.35">
      <c r="A156" s="35">
        <v>45806</v>
      </c>
      <c r="B156" s="23">
        <v>3200</v>
      </c>
      <c r="C156" s="23"/>
      <c r="D156" s="23">
        <f>Table2345345687911121514161718192021222324252627283456789101134567891011123511[[#This Row],[Cash]]+Table2345345687911121514161718192021222324252627283456789101134567891011123511[[#This Row],[Account Transfer]]</f>
        <v>3200</v>
      </c>
      <c r="E156" s="22" t="s">
        <v>218</v>
      </c>
      <c r="F156" s="36" t="s">
        <v>48</v>
      </c>
    </row>
    <row r="157" spans="1:6" x14ac:dyDescent="0.35">
      <c r="A157" s="35">
        <v>45807</v>
      </c>
      <c r="B157" s="23">
        <v>380</v>
      </c>
      <c r="C157" s="23"/>
      <c r="D157" s="23">
        <f>Table2345345687911121514161718192021222324252627283456789101134567891011123511[[#This Row],[Cash]]+Table2345345687911121514161718192021222324252627283456789101134567891011123511[[#This Row],[Account Transfer]]</f>
        <v>380</v>
      </c>
      <c r="E157" s="22" t="s">
        <v>241</v>
      </c>
      <c r="F157" s="36" t="s">
        <v>48</v>
      </c>
    </row>
    <row r="158" spans="1:6" x14ac:dyDescent="0.35">
      <c r="A158" s="35">
        <v>45807</v>
      </c>
      <c r="B158" s="23">
        <v>100</v>
      </c>
      <c r="C158" s="23"/>
      <c r="D158" s="23">
        <f>Table2345345687911121514161718192021222324252627283456789101134567891011123511[[#This Row],[Cash]]+Table2345345687911121514161718192021222324252627283456789101134567891011123511[[#This Row],[Account Transfer]]</f>
        <v>100</v>
      </c>
      <c r="E158" s="22" t="s">
        <v>129</v>
      </c>
      <c r="F158" s="36" t="s">
        <v>42</v>
      </c>
    </row>
    <row r="159" spans="1:6" x14ac:dyDescent="0.35">
      <c r="A159" s="35">
        <v>45807</v>
      </c>
      <c r="B159" s="23">
        <v>1000</v>
      </c>
      <c r="C159" s="23"/>
      <c r="D159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59" s="22" t="s">
        <v>204</v>
      </c>
      <c r="F159" s="36" t="s">
        <v>48</v>
      </c>
    </row>
    <row r="160" spans="1:6" x14ac:dyDescent="0.35">
      <c r="A160" s="35">
        <v>45807</v>
      </c>
      <c r="B160" s="23">
        <v>1000</v>
      </c>
      <c r="C160" s="23"/>
      <c r="D160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60" s="22" t="s">
        <v>69</v>
      </c>
      <c r="F160" s="36" t="s">
        <v>69</v>
      </c>
    </row>
    <row r="161" spans="1:6" x14ac:dyDescent="0.35">
      <c r="A161" s="35">
        <v>45807</v>
      </c>
      <c r="B161" s="23">
        <v>100</v>
      </c>
      <c r="C161" s="23"/>
      <c r="D161" s="23">
        <f>Table2345345687911121514161718192021222324252627283456789101134567891011123511[[#This Row],[Cash]]+Table2345345687911121514161718192021222324252627283456789101134567891011123511[[#This Row],[Account Transfer]]</f>
        <v>100</v>
      </c>
      <c r="E161" s="22" t="s">
        <v>26</v>
      </c>
      <c r="F161" s="36" t="s">
        <v>48</v>
      </c>
    </row>
    <row r="162" spans="1:6" x14ac:dyDescent="0.35">
      <c r="A162" s="35">
        <v>45808</v>
      </c>
      <c r="B162" s="23">
        <v>350</v>
      </c>
      <c r="C162" s="23"/>
      <c r="D162" s="23">
        <f>Table2345345687911121514161718192021222324252627283456789101134567891011123511[[#This Row],[Cash]]+Table2345345687911121514161718192021222324252627283456789101134567891011123511[[#This Row],[Account Transfer]]</f>
        <v>350</v>
      </c>
      <c r="E162" s="22" t="s">
        <v>113</v>
      </c>
      <c r="F162" s="36" t="s">
        <v>48</v>
      </c>
    </row>
    <row r="163" spans="1:6" x14ac:dyDescent="0.35">
      <c r="A163" s="35">
        <v>45808</v>
      </c>
      <c r="B163" s="23">
        <v>500</v>
      </c>
      <c r="C163" s="23"/>
      <c r="D163" s="23">
        <f>Table2345345687911121514161718192021222324252627283456789101134567891011123511[[#This Row],[Cash]]+Table2345345687911121514161718192021222324252627283456789101134567891011123511[[#This Row],[Account Transfer]]</f>
        <v>500</v>
      </c>
      <c r="E163" s="22" t="s">
        <v>108</v>
      </c>
      <c r="F163" s="36" t="s">
        <v>48</v>
      </c>
    </row>
    <row r="164" spans="1:6" x14ac:dyDescent="0.35">
      <c r="A164" s="35">
        <v>45808</v>
      </c>
      <c r="B164" s="23"/>
      <c r="C164" s="23">
        <v>230</v>
      </c>
      <c r="D164" s="23">
        <f>Table2345345687911121514161718192021222324252627283456789101134567891011123511[[#This Row],[Cash]]+Table2345345687911121514161718192021222324252627283456789101134567891011123511[[#This Row],[Account Transfer]]</f>
        <v>230</v>
      </c>
      <c r="E164" s="22" t="s">
        <v>19</v>
      </c>
      <c r="F164" s="36" t="s">
        <v>48</v>
      </c>
    </row>
    <row r="165" spans="1:6" x14ac:dyDescent="0.35">
      <c r="A165" s="35">
        <v>45808</v>
      </c>
      <c r="B165" s="23">
        <v>90</v>
      </c>
      <c r="C165" s="23"/>
      <c r="D165" s="23">
        <f>Table2345345687911121514161718192021222324252627283456789101134567891011123511[[#This Row],[Cash]]+Table2345345687911121514161718192021222324252627283456789101134567891011123511[[#This Row],[Account Transfer]]</f>
        <v>90</v>
      </c>
      <c r="E165" s="22" t="s">
        <v>26</v>
      </c>
      <c r="F165" s="36" t="s">
        <v>48</v>
      </c>
    </row>
    <row r="166" spans="1:6" x14ac:dyDescent="0.35">
      <c r="A166" s="35">
        <v>45808</v>
      </c>
      <c r="B166" s="23">
        <v>1000</v>
      </c>
      <c r="C166" s="23"/>
      <c r="D166" s="23">
        <f>Table2345345687911121514161718192021222324252627283456789101134567891011123511[[#This Row],[Cash]]+Table2345345687911121514161718192021222324252627283456789101134567891011123511[[#This Row],[Account Transfer]]</f>
        <v>1000</v>
      </c>
      <c r="E166" s="22" t="s">
        <v>129</v>
      </c>
      <c r="F166" s="36" t="s">
        <v>42</v>
      </c>
    </row>
    <row r="167" spans="1:6" x14ac:dyDescent="0.35">
      <c r="A167" s="35"/>
      <c r="B167" s="23"/>
      <c r="C167" s="23"/>
      <c r="D167" s="23">
        <f>Table2345345687911121514161718192021222324252627283456789101134567891011123511[[#This Row],[Cash]]+Table2345345687911121514161718192021222324252627283456789101134567891011123511[[#This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Table23453456879111215141617181920212223242526272834567891011345678910111235[[#This Row],[Cash]]+Table23453456879111215141617181920212223242526272834567891011345678910111235[[#This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Table23453456879111215141617181920212223242526272834567891011345678910111235[[#This Row],[Cash]]+Table23453456879111215141617181920212223242526272834567891011345678910111235[[#This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Table23453456879111215141617181920212223242526272834567891011345678910111235[[#This Row],[Cash]]+Table23453456879111215141617181920212223242526272834567891011345678910111235[[#This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Table23453456879111215141617181920212223242526272834567891011345678910111235[[#This Row],[Cash]]+Table23453456879111215141617181920212223242526272834567891011345678910111235[[#This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Table23453456879111215141617181920212223242526272834567891011345678910111235[[#This Row],[Cash]]+Table23453456879111215141617181920212223242526272834567891011345678910111235[[#This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Table23453456879111215141617181920212223242526272834567891011345678910111235[[#This Row],[Cash]]+Table23453456879111215141617181920212223242526272834567891011345678910111235[[#This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Table23453456879111215141617181920212223242526272834567891011345678910111235[[#This Row],[Cash]]+Table23453456879111215141617181920212223242526272834567891011345678910111235[[#This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Table23453456879111215141617181920212223242526272834567891011345678910111235[[#This Row],[Cash]]+Table23453456879111215141617181920212223242526272834567891011345678910111235[[#This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Table23453456879111215141617181920212223242526272834567891011345678910111235[[#This Row],[Cash]]+Table23453456879111215141617181920212223242526272834567891011345678910111235[[#This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Table23453456879111215141617181920212223242526272834567891011345678910111235[[#This Row],[Cash]]+Table23453456879111215141617181920212223242526272834567891011345678910111235[[#This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Table23453456879111215141617181920212223242526272834567891011345678910111235[[#This Row],[Cash]]+Table23453456879111215141617181920212223242526272834567891011345678910111235[[#This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Table23453456879111215141617181920212223242526272834567891011345678910111235[[#This Row],[Cash]]+Table23453456879111215141617181920212223242526272834567891011345678910111235[[#This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Table23453456879111215141617181920212223242526272834567891011345678910111235[[#This Row],[Cash]]+Table23453456879111215141617181920212223242526272834567891011345678910111235[[#This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Table23453456879111215141617181920212223242526272834567891011345678910111235[[#This Row],[Cash]]+Table23453456879111215141617181920212223242526272834567891011345678910111235[[#This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Table23453456879111215141617181920212223242526272834567891011345678910111235[[#This Row],[Cash]]+Table23453456879111215141617181920212223242526272834567891011345678910111235[[#This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Table23453456879111215141617181920212223242526272834567891011345678910111235[[#This Row],[Cash]]+Table23453456879111215141617181920212223242526272834567891011345678910111235[[#This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Table23453456879111215141617181920212223242526272834567891011345678910111235[[#This Row],[Cash]]+Table23453456879111215141617181920212223242526272834567891011345678910111235[[#This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Table23453456879111215141617181920212223242526272834567891011345678910111235[[#This Row],[Cash]]+Table23453456879111215141617181920212223242526272834567891011345678910111235[[#This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Table23453456879111215141617181920212223242526272834567891011345678910111235[[#This Row],[Cash]]+Table23453456879111215141617181920212223242526272834567891011345678910111235[[#This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Table23453456879111215141617181920212223242526272834567891011345678910111235[[#This Row],[Cash]]+Table23453456879111215141617181920212223242526272834567891011345678910111235[[#This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Table23453456879111215141617181920212223242526272834567891011345678910111235[[#This Row],[Cash]]+Table23453456879111215141617181920212223242526272834567891011345678910111235[[#This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Table23453456879111215141617181920212223242526272834567891011345678910111235[[#This Row],[Cash]]+Table23453456879111215141617181920212223242526272834567891011345678910111235[[#This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Table23453456879111215141617181920212223242526272834567891011345678910111235[[#This Row],[Cash]]+Table23453456879111215141617181920212223242526272834567891011345678910111235[[#This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Table23453456879111215141617181920212223242526272834567891011345678910111235[[#This Row],[Cash]]+Table23453456879111215141617181920212223242526272834567891011345678910111235[[#This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Table23453456879111215141617181920212223242526272834567891011345678910111235[[#This Row],[Cash]]+Table23453456879111215141617181920212223242526272834567891011345678910111235[[#This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Table23453456879111215141617181920212223242526272834567891011345678910111235[[#This Row],[Cash]]+Table23453456879111215141617181920212223242526272834567891011345678910111235[[#This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Table23453456879111215141617181920212223242526272834567891011345678910111235[[#This Row],[Cash]]+Table23453456879111215141617181920212223242526272834567891011345678910111235[[#This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Table23453456879111215141617181920212223242526272834567891011345678910111235[[#This Row],[Cash]]+Table23453456879111215141617181920212223242526272834567891011345678910111235[[#This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Table23453456879111215141617181920212223242526272834567891011345678910111235[[#This Row],[Cash]]+Table23453456879111215141617181920212223242526272834567891011345678910111235[[#This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Table23453456879111215141617181920212223242526272834567891011345678910111235[[#This Row],[Cash]]+Table23453456879111215141617181920212223242526272834567891011345678910111235[[#This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Table23453456879111215141617181920212223242526272834567891011345678910111235[[#This Row],[Cash]]+Table23453456879111215141617181920212223242526272834567891011345678910111235[[#This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Table23453456879111215141617181920212223242526272834567891011345678910111235[[#This Row],[Cash]]+Table23453456879111215141617181920212223242526272834567891011345678910111235[[#This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Table23453456879111215141617181920212223242526272834567891011345678910111235[[#This Row],[Cash]]+Table23453456879111215141617181920212223242526272834567891011345678910111235[[#This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Table23453456879111215141617181920212223242526272834567891011345678910111235[[#This Row],[Cash]]+Table23453456879111215141617181920212223242526272834567891011345678910111235[[#This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Table23453456879111215141617181920212223242526272834567891011345678910111235[[#This Row],[Cash]]+Table23453456879111215141617181920212223242526272834567891011345678910111235[[#This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Table23453456879111215141617181920212223242526272834567891011345678910111235[[#This Row],[Cash]]+Table23453456879111215141617181920212223242526272834567891011345678910111235[[#This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Table23453456879111215141617181920212223242526272834567891011345678910111235[[#This Row],[Cash]]+Table23453456879111215141617181920212223242526272834567891011345678910111235[[#This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Table23453456879111215141617181920212223242526272834567891011345678910111235[[#This Row],[Cash]]+Table23453456879111215141617181920212223242526272834567891011345678910111235[[#This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Table23453456879111215141617181920212223242526272834567891011345678910111235[[#This Row],[Cash]]+Table23453456879111215141617181920212223242526272834567891011345678910111235[[#This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Table23453456879111215141617181920212223242526272834567891011345678910111235[[#This Row],[Cash]]+Table23453456879111215141617181920212223242526272834567891011345678910111235[[#This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Table23453456879111215141617181920212223242526272834567891011345678910111235[[#This Row],[Cash]]+Table23453456879111215141617181920212223242526272834567891011345678910111235[[#This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Table23453456879111215141617181920212223242526272834567891011345678910111235[[#This Row],[Cash]]+Table23453456879111215141617181920212223242526272834567891011345678910111235[[#This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Table23453456879111215141617181920212223242526272834567891011345678910111235[[#This Row],[Cash]]+Table23453456879111215141617181920212223242526272834567891011345678910111235[[#This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Table23453456879111215141617181920212223242526272834567891011345678910111235[[#This Row],[Cash]]+Table23453456879111215141617181920212223242526272834567891011345678910111235[[#This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Table23453456879111215141617181920212223242526272834567891011345678910111235[[#This Row],[Cash]]+Table23453456879111215141617181920212223242526272834567891011345678910111235[[#This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Table23453456879111215141617181920212223242526272834567891011345678910111235[[#This Row],[Cash]]+Table23453456879111215141617181920212223242526272834567891011345678910111235[[#This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Table23453456879111215141617181920212223242526272834567891011345678910111235[[#This Row],[Cash]]+Table23453456879111215141617181920212223242526272834567891011345678910111235[[#This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Table23453456879111215141617181920212223242526272834567891011345678910111235[[#This Row],[Cash]]+Table23453456879111215141617181920212223242526272834567891011345678910111235[[#This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Table23453456879111215141617181920212223242526272834567891011345678910111235[[#This Row],[Cash]]+Table23453456879111215141617181920212223242526272834567891011345678910111235[[#This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Table23453456879111215141617181920212223242526272834567891011345678910111235[[#This Row],[Cash]]+Table23453456879111215141617181920212223242526272834567891011345678910111235[[#This Row],[Account Transfer]]</f>
        <v>0</v>
      </c>
      <c r="E217" s="22"/>
      <c r="F217" s="36"/>
    </row>
    <row r="218" spans="1:6" x14ac:dyDescent="0.35">
      <c r="A218" s="35"/>
      <c r="B218" s="23"/>
      <c r="C218" s="23"/>
      <c r="D218" s="23">
        <f>Table23453456879111215141617181920212223242526272834567891011345678910111235[[#This Row],[Cash]]+Table23453456879111215141617181920212223242526272834567891011345678910111235[[#This Row],[Account Transfer]]</f>
        <v>0</v>
      </c>
      <c r="E218" s="22"/>
      <c r="F218" s="36"/>
    </row>
    <row r="219" spans="1:6" x14ac:dyDescent="0.35">
      <c r="A219" s="35"/>
      <c r="B219" s="23"/>
      <c r="C219" s="23"/>
      <c r="D219" s="23"/>
      <c r="E219" s="22"/>
      <c r="F219" s="36"/>
    </row>
    <row r="220" spans="1:6" x14ac:dyDescent="0.35">
      <c r="A220" s="35"/>
      <c r="B220" s="23"/>
      <c r="C220" s="23"/>
      <c r="D220" s="23"/>
      <c r="E220" s="22"/>
      <c r="F220" s="36"/>
    </row>
    <row r="221" spans="1:6" x14ac:dyDescent="0.35">
      <c r="A221" s="35"/>
      <c r="B221" s="23"/>
      <c r="C221" s="23"/>
      <c r="D221" s="23"/>
      <c r="E221" s="22"/>
      <c r="F221" s="36"/>
    </row>
    <row r="222" spans="1:6" x14ac:dyDescent="0.35">
      <c r="A222" s="35"/>
      <c r="B222" s="23"/>
      <c r="C222" s="23"/>
      <c r="D222" s="23"/>
      <c r="E222" s="22"/>
      <c r="F222" s="36"/>
    </row>
    <row r="223" spans="1:6" x14ac:dyDescent="0.35">
      <c r="A223" s="37"/>
      <c r="B223" s="38"/>
      <c r="C223" s="38"/>
      <c r="D223" s="23"/>
      <c r="E223" s="39"/>
      <c r="F223" s="4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4A08-2545-402A-8FF2-4BD67DDC3D2A}">
  <dimension ref="A1:V48"/>
  <sheetViews>
    <sheetView zoomScale="90" zoomScaleNormal="90" workbookViewId="0">
      <pane ySplit="1" topLeftCell="A25" activePane="bottomLeft" state="frozen"/>
      <selection activeCell="H109" sqref="H109"/>
      <selection pane="bottomLeft" activeCell="C40" sqref="C40"/>
    </sheetView>
  </sheetViews>
  <sheetFormatPr defaultColWidth="26" defaultRowHeight="14.5" x14ac:dyDescent="0.35"/>
  <cols>
    <col min="1" max="1" width="24.269531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309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Table23453456879111215141617181920212223242526272834567891011345678910111241012[[#This Row],[Profit]]-Table23453456879111215141617181920212223242526272834567891011345678910111241012[[#This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Table23453456879111215141617181920212223242526272834567891011345678910111241012[[#This Row],[Account Transfer]]-Table23453456879111215141617181920212223242526272834567891011345678910111241012[[#This Row],[Expense Online]]</f>
        <v>0</v>
      </c>
      <c r="L2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0</v>
      </c>
      <c r="M2" s="7">
        <f>Table23453456879111215141617181920212223242526272834567891011345678910111241012[[#This Row],[Cash]]-Table23453456879111215141617181920212223242526272834567891011345678910111241012[[#This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45809</v>
      </c>
      <c r="B3" s="7">
        <f>Table23453456879111215141617181920212223242526272834567891011345678910111241012[[#This Row],[Profit]]-Table23453456879111215141617181920212223242526272834567891011345678910111241012[[#This Row],[Mulbhag]]</f>
        <v>1224</v>
      </c>
      <c r="C3" s="43">
        <f>Table23453456879111215141617181920212223242526272834567891011345678910111241012[[#This Row],[Profit]]/3</f>
        <v>612</v>
      </c>
      <c r="D3" s="7">
        <f t="shared" si="0"/>
        <v>1836</v>
      </c>
      <c r="E3" s="7">
        <f t="shared" si="1"/>
        <v>4284</v>
      </c>
      <c r="F3" s="7">
        <f t="shared" si="2"/>
        <v>6120</v>
      </c>
      <c r="G3" s="7">
        <v>2050</v>
      </c>
      <c r="H3" s="7">
        <v>4070</v>
      </c>
      <c r="I3" s="7">
        <f>IFERROR(VLOOKUP(Table23453456879111215141617181920212223242526272834567891011345678910111241012[[#This Row],[Date]],'June Expense'!H1:K249,3,0),0)</f>
        <v>1211</v>
      </c>
      <c r="J3" s="7">
        <f>IFERROR(VLOOKUP(Table23453456879111215141617181920212223242526272834567891011345678910111241012[[#This Row],[Date]],'June Expense'!H1:K249,4,0),0)</f>
        <v>8130</v>
      </c>
      <c r="K3" s="7">
        <f>Table23453456879111215141617181920212223242526272834567891011345678910111241012[[#This Row],[Account Transfer]]-Table23453456879111215141617181920212223242526272834567891011345678910111241012[[#This Row],[Expense Online]]</f>
        <v>-4060</v>
      </c>
      <c r="L3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-997</v>
      </c>
      <c r="M3" s="7">
        <f>Table23453456879111215141617181920212223242526272834567891011345678910111241012[[#This Row],[Cash]]-Table23453456879111215141617181920212223242526272834567891011345678910111241012[[#This Row],[Expense]]</f>
        <v>839</v>
      </c>
      <c r="N3" s="45"/>
      <c r="O3" s="10">
        <f t="shared" ref="O3:O9" si="3">A3</f>
        <v>45809</v>
      </c>
      <c r="P3" s="11">
        <f>Q3/3</f>
        <v>612</v>
      </c>
      <c r="Q3" s="11">
        <f>S3*0.3</f>
        <v>1836</v>
      </c>
      <c r="R3" s="11">
        <f t="shared" ref="R3:R9" si="4">S3-Q3</f>
        <v>4284</v>
      </c>
      <c r="S3" s="11">
        <f>T3+U3</f>
        <v>6120</v>
      </c>
      <c r="T3" s="11">
        <f t="shared" ref="T3:T9" si="5">VLOOKUP(O3,$A$1:$J$34,7,0)</f>
        <v>2050</v>
      </c>
      <c r="U3" s="11">
        <f t="shared" ref="U3:U9" si="6">VLOOKUP(O3,$A$1:$J$34,8,0)</f>
        <v>4070</v>
      </c>
      <c r="V3" s="11">
        <f t="shared" ref="V3:V9" si="7">VLOOKUP(O3,$A$1:$J$34,9,0)</f>
        <v>1211</v>
      </c>
    </row>
    <row r="4" spans="1:22" x14ac:dyDescent="0.35">
      <c r="A4" s="6">
        <v>45810</v>
      </c>
      <c r="B4" s="7">
        <f>Table23453456879111215141617181920212223242526272834567891011345678910111241012[[#This Row],[Profit]]-Table23453456879111215141617181920212223242526272834567891011345678910111241012[[#This Row],[Mulbhag]]</f>
        <v>7984</v>
      </c>
      <c r="C4" s="43">
        <f>Table23453456879111215141617181920212223242526272834567891011345678910111241012[[#This Row],[Profit]]/3</f>
        <v>3992</v>
      </c>
      <c r="D4" s="7">
        <f t="shared" si="0"/>
        <v>11976</v>
      </c>
      <c r="E4" s="7">
        <f t="shared" si="1"/>
        <v>27944</v>
      </c>
      <c r="F4" s="7">
        <f t="shared" si="2"/>
        <v>39920</v>
      </c>
      <c r="G4" s="7">
        <v>10070</v>
      </c>
      <c r="H4" s="7">
        <v>29850</v>
      </c>
      <c r="I4" s="7">
        <f>IFERROR(VLOOKUP(Table23453456879111215141617181920212223242526272834567891011345678910111241012[[#This Row],[Date]],'June Expense'!H2:K250,3,0),0)</f>
        <v>9240</v>
      </c>
      <c r="J4" s="7">
        <f>IFERROR(VLOOKUP(Table23453456879111215141617181920212223242526272834567891011345678910111241012[[#This Row],[Date]],'June Expense'!H2:K250,4,0),0)</f>
        <v>2000</v>
      </c>
      <c r="K4" s="7">
        <f>Table23453456879111215141617181920212223242526272834567891011345678910111241012[[#This Row],[Account Transfer]]-Table23453456879111215141617181920212223242526272834567891011345678910111241012[[#This Row],[Expense Online]]</f>
        <v>27850</v>
      </c>
      <c r="L4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-11146</v>
      </c>
      <c r="M4" s="7">
        <f>Table23453456879111215141617181920212223242526272834567891011345678910111241012[[#This Row],[Cash]]-Table23453456879111215141617181920212223242526272834567891011345678910111241012[[#This Row],[Expense]]</f>
        <v>830</v>
      </c>
      <c r="N4" s="45"/>
      <c r="O4" s="8">
        <f t="shared" si="3"/>
        <v>45810</v>
      </c>
      <c r="P4" s="9">
        <f>Q4/3</f>
        <v>3992</v>
      </c>
      <c r="Q4" s="9">
        <f>S4*0.3</f>
        <v>11976</v>
      </c>
      <c r="R4" s="9">
        <f t="shared" si="4"/>
        <v>27944</v>
      </c>
      <c r="S4" s="9">
        <f t="shared" ref="S4:S9" si="8">T4+U4</f>
        <v>39920</v>
      </c>
      <c r="T4" s="9">
        <f t="shared" si="5"/>
        <v>10070</v>
      </c>
      <c r="U4" s="9">
        <f t="shared" si="6"/>
        <v>29850</v>
      </c>
      <c r="V4" s="9">
        <f t="shared" si="7"/>
        <v>9240</v>
      </c>
    </row>
    <row r="5" spans="1:22" x14ac:dyDescent="0.35">
      <c r="A5" s="6">
        <v>45811</v>
      </c>
      <c r="B5" s="7">
        <f>Table23453456879111215141617181920212223242526272834567891011345678910111241012[[#This Row],[Profit]]-Table23453456879111215141617181920212223242526272834567891011345678910111241012[[#This Row],[Mulbhag]]</f>
        <v>6726</v>
      </c>
      <c r="C5" s="43">
        <f>Table23453456879111215141617181920212223242526272834567891011345678910111241012[[#This Row],[Profit]]/3</f>
        <v>3363</v>
      </c>
      <c r="D5" s="7">
        <f t="shared" si="0"/>
        <v>10089</v>
      </c>
      <c r="E5" s="7">
        <f t="shared" si="1"/>
        <v>23541</v>
      </c>
      <c r="F5" s="7">
        <f t="shared" si="2"/>
        <v>33630</v>
      </c>
      <c r="G5" s="7">
        <v>12000</v>
      </c>
      <c r="H5" s="7">
        <f>11130+10500</f>
        <v>21630</v>
      </c>
      <c r="I5" s="7">
        <f>IFERROR(VLOOKUP(Table23453456879111215141617181920212223242526272834567891011345678910111241012[[#This Row],[Date]],'June Expense'!H3:K251,3,0),0)</f>
        <v>12720</v>
      </c>
      <c r="J5" s="7">
        <f>IFERROR(VLOOKUP(Table23453456879111215141617181920212223242526272834567891011345678910111241012[[#This Row],[Date]],'June Expense'!H3:K251,4,0),0)</f>
        <v>1150</v>
      </c>
      <c r="K5" s="7">
        <f>Table23453456879111215141617181920212223242526272834567891011345678910111241012[[#This Row],[Account Transfer]]-Table23453456879111215141617181920212223242526272834567891011345678910111241012[[#This Row],[Expense Online]]</f>
        <v>20480</v>
      </c>
      <c r="L5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-10809</v>
      </c>
      <c r="M5" s="7">
        <f>Table23453456879111215141617181920212223242526272834567891011345678910111241012[[#This Row],[Cash]]-Table23453456879111215141617181920212223242526272834567891011345678910111241012[[#This Row],[Expense]]</f>
        <v>-720</v>
      </c>
      <c r="N5" s="45">
        <v>340</v>
      </c>
      <c r="O5" s="10">
        <f t="shared" si="3"/>
        <v>45811</v>
      </c>
      <c r="P5" s="11">
        <f t="shared" ref="P5:P9" si="9">Q5/3</f>
        <v>3363</v>
      </c>
      <c r="Q5" s="11">
        <f t="shared" ref="Q5:Q9" si="10">S5*0.3</f>
        <v>10089</v>
      </c>
      <c r="R5" s="11">
        <f t="shared" si="4"/>
        <v>23541</v>
      </c>
      <c r="S5" s="11">
        <f t="shared" si="8"/>
        <v>33630</v>
      </c>
      <c r="T5" s="11">
        <f t="shared" si="5"/>
        <v>12000</v>
      </c>
      <c r="U5" s="11">
        <f t="shared" si="6"/>
        <v>21630</v>
      </c>
      <c r="V5" s="11">
        <f t="shared" si="7"/>
        <v>12720</v>
      </c>
    </row>
    <row r="6" spans="1:22" x14ac:dyDescent="0.35">
      <c r="A6" s="6">
        <v>45812</v>
      </c>
      <c r="B6" s="7">
        <f>Table23453456879111215141617181920212223242526272834567891011345678910111241012[[#This Row],[Profit]]-Table23453456879111215141617181920212223242526272834567891011345678910111241012[[#This Row],[Mulbhag]]</f>
        <v>4092</v>
      </c>
      <c r="C6" s="28">
        <f>Table23453456879111215141617181920212223242526272834567891011345678910111241012[[#This Row],[Profit]]/3</f>
        <v>2046</v>
      </c>
      <c r="D6" s="7">
        <f t="shared" si="0"/>
        <v>6138</v>
      </c>
      <c r="E6" s="7">
        <f t="shared" si="1"/>
        <v>14322</v>
      </c>
      <c r="F6" s="7">
        <f t="shared" si="2"/>
        <v>20460</v>
      </c>
      <c r="G6" s="7">
        <v>3250</v>
      </c>
      <c r="H6" s="7">
        <v>17210</v>
      </c>
      <c r="I6" s="7">
        <f>IFERROR(VLOOKUP(Table23453456879111215141617181920212223242526272834567891011345678910111241012[[#This Row],[Date]],'June Expense'!H4:K252,3,0),0)</f>
        <v>340</v>
      </c>
      <c r="J6" s="7">
        <f>IFERROR(VLOOKUP(Table23453456879111215141617181920212223242526272834567891011345678910111241012[[#This Row],[Date]],'June Expense'!H4:K252,4,0),0)</f>
        <v>0</v>
      </c>
      <c r="K6" s="7">
        <f>Table23453456879111215141617181920212223242526272834567891011345678910111241012[[#This Row],[Account Transfer]]-Table23453456879111215141617181920212223242526272834567891011345678910111241012[[#This Row],[Expense Online]]</f>
        <v>17210</v>
      </c>
      <c r="L6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-3228</v>
      </c>
      <c r="M6" s="7">
        <f>Table23453456879111215141617181920212223242526272834567891011345678910111241012[[#This Row],[Cash]]-Table23453456879111215141617181920212223242526272834567891011345678910111241012[[#This Row],[Expense]]</f>
        <v>2910</v>
      </c>
      <c r="N6" s="45">
        <v>270</v>
      </c>
      <c r="O6" s="8">
        <f t="shared" si="3"/>
        <v>45812</v>
      </c>
      <c r="P6" s="9">
        <f t="shared" si="9"/>
        <v>2046</v>
      </c>
      <c r="Q6" s="9">
        <f t="shared" si="10"/>
        <v>6138</v>
      </c>
      <c r="R6" s="9">
        <f t="shared" si="4"/>
        <v>14322</v>
      </c>
      <c r="S6" s="9">
        <f t="shared" si="8"/>
        <v>20460</v>
      </c>
      <c r="T6" s="9">
        <f t="shared" si="5"/>
        <v>3250</v>
      </c>
      <c r="U6" s="9">
        <f t="shared" si="6"/>
        <v>17210</v>
      </c>
      <c r="V6" s="9">
        <f t="shared" si="7"/>
        <v>340</v>
      </c>
    </row>
    <row r="7" spans="1:22" x14ac:dyDescent="0.35">
      <c r="A7" s="6">
        <v>45813</v>
      </c>
      <c r="B7" s="7">
        <f>Table23453456879111215141617181920212223242526272834567891011345678910111241012[[#This Row],[Profit]]-Table23453456879111215141617181920212223242526272834567891011345678910111241012[[#This Row],[Mulbhag]]</f>
        <v>5272.1999999999989</v>
      </c>
      <c r="C7" s="28">
        <f>Table23453456879111215141617181920212223242526272834567891011345678910111241012[[#This Row],[Profit]]/3</f>
        <v>2636.1</v>
      </c>
      <c r="D7" s="7">
        <f t="shared" si="0"/>
        <v>7908.2999999999993</v>
      </c>
      <c r="E7" s="7">
        <f t="shared" si="1"/>
        <v>18452.7</v>
      </c>
      <c r="F7" s="7">
        <f t="shared" si="2"/>
        <v>26361</v>
      </c>
      <c r="G7" s="7">
        <v>9670</v>
      </c>
      <c r="H7" s="7">
        <v>16691</v>
      </c>
      <c r="I7" s="7">
        <f>IFERROR(VLOOKUP(Table23453456879111215141617181920212223242526272834567891011345678910111241012[[#This Row],[Date]],'June Expense'!H5:K253,3,0),0)</f>
        <v>1640</v>
      </c>
      <c r="J7" s="7">
        <f>IFERROR(VLOOKUP(Table23453456879111215141617181920212223242526272834567891011345678910111241012[[#This Row],[Date]],'June Expense'!H5:K253,4,0),0)</f>
        <v>0</v>
      </c>
      <c r="K7" s="7">
        <f>Table23453456879111215141617181920212223242526272834567891011345678910111241012[[#This Row],[Account Transfer]]-Table23453456879111215141617181920212223242526272834567891011345678910111241012[[#This Row],[Expense Online]]</f>
        <v>16691</v>
      </c>
      <c r="L7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121.70000000000073</v>
      </c>
      <c r="M7" s="7">
        <f>Table23453456879111215141617181920212223242526272834567891011345678910111241012[[#This Row],[Cash]]-Table23453456879111215141617181920212223242526272834567891011345678910111241012[[#This Row],[Expense]]</f>
        <v>8030</v>
      </c>
      <c r="N7" s="45"/>
      <c r="O7" s="10">
        <f t="shared" si="3"/>
        <v>45813</v>
      </c>
      <c r="P7" s="11">
        <f t="shared" si="9"/>
        <v>2636.1</v>
      </c>
      <c r="Q7" s="11">
        <f t="shared" si="10"/>
        <v>7908.2999999999993</v>
      </c>
      <c r="R7" s="11">
        <f t="shared" si="4"/>
        <v>18452.7</v>
      </c>
      <c r="S7" s="11">
        <f t="shared" si="8"/>
        <v>26361</v>
      </c>
      <c r="T7" s="11">
        <f t="shared" si="5"/>
        <v>9670</v>
      </c>
      <c r="U7" s="11">
        <f t="shared" si="6"/>
        <v>16691</v>
      </c>
      <c r="V7" s="11">
        <f t="shared" si="7"/>
        <v>1640</v>
      </c>
    </row>
    <row r="8" spans="1:22" x14ac:dyDescent="0.35">
      <c r="A8" s="6">
        <v>45814</v>
      </c>
      <c r="B8" s="7">
        <f>Table23453456879111215141617181920212223242526272834567891011345678910111241012[[#This Row],[Profit]]-Table23453456879111215141617181920212223242526272834567891011345678910111241012[[#This Row],[Mulbhag]]</f>
        <v>2178</v>
      </c>
      <c r="C8" s="28">
        <f>Table23453456879111215141617181920212223242526272834567891011345678910111241012[[#This Row],[Profit]]/3</f>
        <v>1089</v>
      </c>
      <c r="D8" s="7">
        <f t="shared" si="0"/>
        <v>3267</v>
      </c>
      <c r="E8" s="7">
        <f t="shared" si="1"/>
        <v>7623</v>
      </c>
      <c r="F8" s="7">
        <f t="shared" si="2"/>
        <v>10890</v>
      </c>
      <c r="G8" s="7">
        <v>1080</v>
      </c>
      <c r="H8" s="7">
        <f>3950+5860</f>
        <v>9810</v>
      </c>
      <c r="I8" s="7">
        <f>IFERROR(VLOOKUP(Table23453456879111215141617181920212223242526272834567891011345678910111241012[[#This Row],[Date]],'June Expense'!H6:K254,3,0),0)</f>
        <v>10350</v>
      </c>
      <c r="J8" s="7">
        <f>IFERROR(VLOOKUP(Table23453456879111215141617181920212223242526272834567891011345678910111241012[[#This Row],[Date]],'June Expense'!H6:K254,4,0),0)</f>
        <v>0</v>
      </c>
      <c r="K8" s="7">
        <f>Table23453456879111215141617181920212223242526272834567891011345678910111241012[[#This Row],[Account Transfer]]-Table23453456879111215141617181920212223242526272834567891011345678910111241012[[#This Row],[Expense Online]]</f>
        <v>9810</v>
      </c>
      <c r="L8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-12537</v>
      </c>
      <c r="M8" s="7">
        <f>Table23453456879111215141617181920212223242526272834567891011345678910111241012[[#This Row],[Cash]]-Table23453456879111215141617181920212223242526272834567891011345678910111241012[[#This Row],[Expense]]</f>
        <v>-9270</v>
      </c>
      <c r="N8" s="45"/>
      <c r="O8" s="8">
        <f t="shared" si="3"/>
        <v>45814</v>
      </c>
      <c r="P8" s="9">
        <f t="shared" si="9"/>
        <v>1089</v>
      </c>
      <c r="Q8" s="9">
        <f t="shared" si="10"/>
        <v>3267</v>
      </c>
      <c r="R8" s="9">
        <f t="shared" si="4"/>
        <v>7623</v>
      </c>
      <c r="S8" s="9">
        <f t="shared" si="8"/>
        <v>10890</v>
      </c>
      <c r="T8" s="9">
        <f t="shared" si="5"/>
        <v>1080</v>
      </c>
      <c r="U8" s="9">
        <f t="shared" si="6"/>
        <v>9810</v>
      </c>
      <c r="V8" s="9">
        <f t="shared" si="7"/>
        <v>10350</v>
      </c>
    </row>
    <row r="9" spans="1:22" x14ac:dyDescent="0.35">
      <c r="A9" s="6">
        <v>45815</v>
      </c>
      <c r="B9" s="7">
        <f>Table23453456879111215141617181920212223242526272834567891011345678910111241012[[#This Row],[Profit]]-Table23453456879111215141617181920212223242526272834567891011345678910111241012[[#This Row],[Mulbhag]]</f>
        <v>6549.6</v>
      </c>
      <c r="C9" s="28">
        <f>Table23453456879111215141617181920212223242526272834567891011345678910111241012[[#This Row],[Profit]]/3</f>
        <v>3274.7999999999997</v>
      </c>
      <c r="D9" s="7">
        <f t="shared" si="0"/>
        <v>9824.4</v>
      </c>
      <c r="E9" s="7">
        <f t="shared" si="1"/>
        <v>22923.599999999999</v>
      </c>
      <c r="F9" s="7">
        <f t="shared" si="2"/>
        <v>32748</v>
      </c>
      <c r="G9" s="7">
        <v>8560</v>
      </c>
      <c r="H9" s="7">
        <v>24188</v>
      </c>
      <c r="I9" s="7">
        <f>IFERROR(VLOOKUP(Table23453456879111215141617181920212223242526272834567891011345678910111241012[[#This Row],[Date]],'June Expense'!H7:K255,3,0),0)</f>
        <v>1300</v>
      </c>
      <c r="J9" s="7">
        <f>IFERROR(VLOOKUP(Table23453456879111215141617181920212223242526272834567891011345678910111241012[[#This Row],[Date]],'June Expense'!H7:K255,4,0),0)</f>
        <v>0</v>
      </c>
      <c r="K9" s="7">
        <f>Table23453456879111215141617181920212223242526272834567891011345678910111241012[[#This Row],[Account Transfer]]-Table23453456879111215141617181920212223242526272834567891011345678910111241012[[#This Row],[Expense Online]]</f>
        <v>24188</v>
      </c>
      <c r="L9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-2564.3999999999996</v>
      </c>
      <c r="M9" s="7">
        <f>Table23453456879111215141617181920212223242526272834567891011345678910111241012[[#This Row],[Cash]]-Table23453456879111215141617181920212223242526272834567891011345678910111241012[[#This Row],[Expense]]</f>
        <v>7260</v>
      </c>
      <c r="N9" s="45"/>
      <c r="O9" s="10">
        <f t="shared" si="3"/>
        <v>45815</v>
      </c>
      <c r="P9" s="11">
        <f t="shared" si="9"/>
        <v>3274.7999999999997</v>
      </c>
      <c r="Q9" s="11">
        <f t="shared" si="10"/>
        <v>9824.4</v>
      </c>
      <c r="R9" s="11">
        <f t="shared" si="4"/>
        <v>22923.599999999999</v>
      </c>
      <c r="S9" s="11">
        <f t="shared" si="8"/>
        <v>32748</v>
      </c>
      <c r="T9" s="11">
        <f t="shared" si="5"/>
        <v>8560</v>
      </c>
      <c r="U9" s="11">
        <f t="shared" si="6"/>
        <v>24188</v>
      </c>
      <c r="V9" s="11">
        <f t="shared" si="7"/>
        <v>1300</v>
      </c>
    </row>
    <row r="10" spans="1:22" x14ac:dyDescent="0.35">
      <c r="A10" s="6">
        <v>45816</v>
      </c>
      <c r="B10" s="7">
        <f>Table23453456879111215141617181920212223242526272834567891011345678910111241012[[#This Row],[Profit]]-Table23453456879111215141617181920212223242526272834567891011345678910111241012[[#This Row],[Mulbhag]]</f>
        <v>2922</v>
      </c>
      <c r="C10" s="28">
        <f>Table23453456879111215141617181920212223242526272834567891011345678910111241012[[#This Row],[Profit]]/3</f>
        <v>1461</v>
      </c>
      <c r="D10" s="7">
        <f t="shared" si="0"/>
        <v>4383</v>
      </c>
      <c r="E10" s="7">
        <f t="shared" si="1"/>
        <v>10227</v>
      </c>
      <c r="F10" s="7">
        <f t="shared" si="2"/>
        <v>14610</v>
      </c>
      <c r="G10" s="7">
        <v>10950</v>
      </c>
      <c r="H10" s="7">
        <f>1920+1740</f>
        <v>3660</v>
      </c>
      <c r="I10" s="7">
        <f>IFERROR(VLOOKUP(Table23453456879111215141617181920212223242526272834567891011345678910111241012[[#This Row],[Date]],'June Expense'!H8:K256,3,0),0)</f>
        <v>1060</v>
      </c>
      <c r="J10" s="7">
        <f>IFERROR(VLOOKUP(Table23453456879111215141617181920212223242526272834567891011345678910111241012[[#This Row],[Date]],'June Expense'!H8:K256,4,0),0)</f>
        <v>0</v>
      </c>
      <c r="K10" s="7">
        <f>Table23453456879111215141617181920212223242526272834567891011345678910111241012[[#This Row],[Account Transfer]]-Table23453456879111215141617181920212223242526272834567891011345678910111241012[[#This Row],[Expense Online]]</f>
        <v>3660</v>
      </c>
      <c r="L10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5507</v>
      </c>
      <c r="M10" s="7">
        <f>Table23453456879111215141617181920212223242526272834567891011345678910111241012[[#This Row],[Cash]]-Table23453456879111215141617181920212223242526272834567891011345678910111241012[[#This Row],[Expense]]</f>
        <v>9890</v>
      </c>
      <c r="N10" s="45">
        <v>800</v>
      </c>
      <c r="O10" s="12" t="s">
        <v>3</v>
      </c>
      <c r="P10" s="12">
        <f>SUM(P3:P9)</f>
        <v>17012.900000000001</v>
      </c>
      <c r="Q10" s="12">
        <f>SUM(Q3:Q9)</f>
        <v>51038.700000000004</v>
      </c>
      <c r="R10" s="12">
        <f>SUM(R2:R9)</f>
        <v>119090.29999999999</v>
      </c>
      <c r="S10" s="12">
        <f>SUM(S2:S9)</f>
        <v>170129</v>
      </c>
      <c r="T10" s="12">
        <f>SUM(T2:T9)</f>
        <v>46680</v>
      </c>
      <c r="U10" s="12">
        <f>SUM(U2:U9)</f>
        <v>123449</v>
      </c>
      <c r="V10" s="12">
        <f>SUM(V2:V9)</f>
        <v>36801</v>
      </c>
    </row>
    <row r="11" spans="1:22" x14ac:dyDescent="0.35">
      <c r="A11" s="6">
        <v>45817</v>
      </c>
      <c r="B11" s="7">
        <f>Table23453456879111215141617181920212223242526272834567891011345678910111241012[[#This Row],[Profit]]-Table23453456879111215141617181920212223242526272834567891011345678910111241012[[#This Row],[Mulbhag]]</f>
        <v>1905</v>
      </c>
      <c r="C11" s="28">
        <f>Table23453456879111215141617181920212223242526272834567891011345678910111241012[[#This Row],[Profit]]/3</f>
        <v>952.5</v>
      </c>
      <c r="D11" s="7">
        <f t="shared" si="0"/>
        <v>2857.5</v>
      </c>
      <c r="E11" s="7">
        <f t="shared" si="1"/>
        <v>6667.5</v>
      </c>
      <c r="F11" s="7">
        <f t="shared" si="2"/>
        <v>9525</v>
      </c>
      <c r="G11" s="7">
        <v>2250</v>
      </c>
      <c r="H11" s="7">
        <v>7275</v>
      </c>
      <c r="I11" s="7">
        <f>IFERROR(VLOOKUP(Table23453456879111215141617181920212223242526272834567891011345678910111241012[[#This Row],[Date]],'June Expense'!H9:K257,3,0),0)</f>
        <v>1360</v>
      </c>
      <c r="J11" s="7">
        <f>IFERROR(VLOOKUP(Table23453456879111215141617181920212223242526272834567891011345678910111241012[[#This Row],[Date]],'June Expense'!H9:K257,4,0),0)</f>
        <v>0</v>
      </c>
      <c r="K11" s="7">
        <f>Table23453456879111215141617181920212223242526272834567891011345678910111241012[[#This Row],[Account Transfer]]-Table23453456879111215141617181920212223242526272834567891011345678910111241012[[#This Row],[Expense Online]]</f>
        <v>7275</v>
      </c>
      <c r="L11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-1967.5</v>
      </c>
      <c r="M11" s="7">
        <f>Table23453456879111215141617181920212223242526272834567891011345678910111241012[[#This Row],[Cash]]-Table23453456879111215141617181920212223242526272834567891011345678910111241012[[#This Row],[Expense]]</f>
        <v>890</v>
      </c>
      <c r="N11" s="45"/>
      <c r="O11" s="12" t="s">
        <v>7</v>
      </c>
      <c r="P11" s="12"/>
      <c r="Q11" s="12">
        <f>Q10/3</f>
        <v>17012.900000000001</v>
      </c>
      <c r="R11" s="12"/>
      <c r="S11" s="12"/>
      <c r="T11" s="11"/>
      <c r="U11" s="11"/>
      <c r="V11" s="11"/>
    </row>
    <row r="12" spans="1:22" x14ac:dyDescent="0.35">
      <c r="A12" s="6">
        <v>45818</v>
      </c>
      <c r="B12" s="7">
        <f>Table23453456879111215141617181920212223242526272834567891011345678910111241012[[#This Row],[Profit]]-Table23453456879111215141617181920212223242526272834567891011345678910111241012[[#This Row],[Mulbhag]]</f>
        <v>4714</v>
      </c>
      <c r="C12" s="28">
        <f>Table23453456879111215141617181920212223242526272834567891011345678910111241012[[#This Row],[Profit]]/3</f>
        <v>2357</v>
      </c>
      <c r="D12" s="7">
        <f t="shared" si="0"/>
        <v>7071</v>
      </c>
      <c r="E12" s="7">
        <f t="shared" si="1"/>
        <v>16499</v>
      </c>
      <c r="F12" s="7">
        <f t="shared" si="2"/>
        <v>23570</v>
      </c>
      <c r="G12" s="7">
        <v>4380</v>
      </c>
      <c r="H12" s="7">
        <f>5140+14050</f>
        <v>19190</v>
      </c>
      <c r="I12" s="7">
        <f>IFERROR(VLOOKUP(Table23453456879111215141617181920212223242526272834567891011345678910111241012[[#This Row],[Date]],'June Expense'!H10:K258,3,0),0)</f>
        <v>2440</v>
      </c>
      <c r="J12" s="7">
        <f>IFERROR(VLOOKUP(Table23453456879111215141617181920212223242526272834567891011345678910111241012[[#This Row],[Date]],'June Expense'!H10:K258,4,0),0)</f>
        <v>1000</v>
      </c>
      <c r="K12" s="7">
        <f>Table23453456879111215141617181920212223242526272834567891011345678910111241012[[#This Row],[Account Transfer]]-Table23453456879111215141617181920212223242526272834567891011345678910111241012[[#This Row],[Expense Online]]</f>
        <v>18190</v>
      </c>
      <c r="L12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-5131</v>
      </c>
      <c r="M12" s="7">
        <f>Table23453456879111215141617181920212223242526272834567891011345678910111241012[[#This Row],[Cash]]-Table23453456879111215141617181920212223242526272834567891011345678910111241012[[#This Row],[Expense]]</f>
        <v>1940</v>
      </c>
      <c r="N12" s="45">
        <v>430</v>
      </c>
    </row>
    <row r="13" spans="1:22" x14ac:dyDescent="0.35">
      <c r="A13" s="6">
        <v>45819</v>
      </c>
      <c r="B13" s="7">
        <f>Table23453456879111215141617181920212223242526272834567891011345678910111241012[[#This Row],[Profit]]-Table23453456879111215141617181920212223242526272834567891011345678910111241012[[#This Row],[Mulbhag]]</f>
        <v>3176</v>
      </c>
      <c r="C13" s="28">
        <f>Table23453456879111215141617181920212223242526272834567891011345678910111241012[[#This Row],[Profit]]/3</f>
        <v>1588</v>
      </c>
      <c r="D13" s="7">
        <f t="shared" si="0"/>
        <v>4764</v>
      </c>
      <c r="E13" s="7">
        <f t="shared" si="1"/>
        <v>11116</v>
      </c>
      <c r="F13" s="7">
        <f t="shared" si="2"/>
        <v>15880</v>
      </c>
      <c r="G13" s="7">
        <v>5100</v>
      </c>
      <c r="H13" s="7">
        <f>3800+6980</f>
        <v>10780</v>
      </c>
      <c r="I13" s="7">
        <f>IFERROR(VLOOKUP(Table23453456879111215141617181920212223242526272834567891011345678910111241012[[#This Row],[Date]],'June Expense'!H11:K259,3,0),0)</f>
        <v>1270</v>
      </c>
      <c r="J13" s="7">
        <f>IFERROR(VLOOKUP(Table23453456879111215141617181920212223242526272834567891011345678910111241012[[#This Row],[Date]],'June Expense'!H11:K259,4,0),0)</f>
        <v>0</v>
      </c>
      <c r="K13" s="7">
        <f>Table23453456879111215141617181920212223242526272834567891011345678910111241012[[#This Row],[Account Transfer]]-Table23453456879111215141617181920212223242526272834567891011345678910111241012[[#This Row],[Expense Online]]</f>
        <v>10780</v>
      </c>
      <c r="L13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-934</v>
      </c>
      <c r="M13" s="7">
        <f>Table23453456879111215141617181920212223242526272834567891011345678910111241012[[#This Row],[Cash]]-Table23453456879111215141617181920212223242526272834567891011345678910111241012[[#This Row],[Expense]]</f>
        <v>3830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45820</v>
      </c>
      <c r="B14" s="7">
        <f>Table23453456879111215141617181920212223242526272834567891011345678910111241012[[#This Row],[Profit]]-Table23453456879111215141617181920212223242526272834567891011345678910111241012[[#This Row],[Mulbhag]]</f>
        <v>6218</v>
      </c>
      <c r="C14" s="28">
        <f>Table23453456879111215141617181920212223242526272834567891011345678910111241012[[#This Row],[Profit]]/3</f>
        <v>3109</v>
      </c>
      <c r="D14" s="7">
        <f t="shared" si="0"/>
        <v>9327</v>
      </c>
      <c r="E14" s="7">
        <f t="shared" si="1"/>
        <v>21763</v>
      </c>
      <c r="F14" s="7">
        <f t="shared" si="2"/>
        <v>31090</v>
      </c>
      <c r="G14" s="7">
        <v>7830</v>
      </c>
      <c r="H14" s="7">
        <f>21000+2260</f>
        <v>23260</v>
      </c>
      <c r="I14" s="7">
        <f>IFERROR(VLOOKUP(Table23453456879111215141617181920212223242526272834567891011345678910111241012[[#This Row],[Date]],'June Expense'!H12:K260,3,0),0)</f>
        <v>1130</v>
      </c>
      <c r="J14" s="7">
        <f>IFERROR(VLOOKUP(Table23453456879111215141617181920212223242526272834567891011345678910111241012[[#This Row],[Date]],'June Expense'!H12:K260,4,0),0)</f>
        <v>0</v>
      </c>
      <c r="K14" s="7">
        <f>Table23453456879111215141617181920212223242526272834567891011345678910111241012[[#This Row],[Account Transfer]]-Table23453456879111215141617181920212223242526272834567891011345678910111241012[[#This Row],[Expense Online]]</f>
        <v>23260</v>
      </c>
      <c r="L14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-2627</v>
      </c>
      <c r="M14" s="7">
        <f>Table23453456879111215141617181920212223242526272834567891011345678910111241012[[#This Row],[Cash]]-Table23453456879111215141617181920212223242526272834567891011345678910111241012[[#This Row],[Expense]]</f>
        <v>6700</v>
      </c>
      <c r="N14" s="45"/>
      <c r="O14" s="10">
        <f t="shared" ref="O14:O20" si="11">A10</f>
        <v>45816</v>
      </c>
      <c r="P14" s="11">
        <f>Q14/3</f>
        <v>1461</v>
      </c>
      <c r="Q14" s="11">
        <f>S14*0.3</f>
        <v>4383</v>
      </c>
      <c r="R14" s="11">
        <f t="shared" ref="R14:R20" si="12">S14-Q14</f>
        <v>10227</v>
      </c>
      <c r="S14" s="11">
        <f>T14+U14</f>
        <v>14610</v>
      </c>
      <c r="T14" s="11">
        <f t="shared" ref="T14:T20" si="13">VLOOKUP(O14,$A$1:$J$34,7,0)</f>
        <v>10950</v>
      </c>
      <c r="U14" s="11">
        <f t="shared" ref="U14:U20" si="14">VLOOKUP(O14,$A$1:$J$34,8,0)</f>
        <v>3660</v>
      </c>
      <c r="V14" s="11">
        <f t="shared" ref="V14:V20" si="15">VLOOKUP(O14,$A$1:$J$34,9,0)</f>
        <v>1060</v>
      </c>
    </row>
    <row r="15" spans="1:22" x14ac:dyDescent="0.35">
      <c r="A15" s="6">
        <v>45821</v>
      </c>
      <c r="B15" s="7">
        <f>Table23453456879111215141617181920212223242526272834567891011345678910111241012[[#This Row],[Profit]]-Table23453456879111215141617181920212223242526272834567891011345678910111241012[[#This Row],[Mulbhag]]</f>
        <v>1764.7999999999997</v>
      </c>
      <c r="C15" s="28">
        <f>Table23453456879111215141617181920212223242526272834567891011345678910111241012[[#This Row],[Profit]]/3</f>
        <v>882.4</v>
      </c>
      <c r="D15" s="7">
        <f t="shared" si="0"/>
        <v>2647.2</v>
      </c>
      <c r="E15" s="7">
        <f t="shared" si="1"/>
        <v>6176.8</v>
      </c>
      <c r="F15" s="7">
        <f t="shared" si="2"/>
        <v>8824</v>
      </c>
      <c r="G15" s="7">
        <v>1050</v>
      </c>
      <c r="H15" s="7">
        <v>7774</v>
      </c>
      <c r="I15" s="7">
        <f>IFERROR(VLOOKUP(Table23453456879111215141617181920212223242526272834567891011345678910111241012[[#This Row],[Date]],'June Expense'!H13:K261,3,0),0)</f>
        <v>8110</v>
      </c>
      <c r="J15" s="7">
        <f>IFERROR(VLOOKUP(Table23453456879111215141617181920212223242526272834567891011345678910111241012[[#This Row],[Date]],'June Expense'!H13:K261,4,0),0)</f>
        <v>0</v>
      </c>
      <c r="K15" s="7">
        <f>Table23453456879111215141617181920212223242526272834567891011345678910111241012[[#This Row],[Account Transfer]]-Table23453456879111215141617181920212223242526272834567891011345678910111241012[[#This Row],[Expense Online]]</f>
        <v>7774</v>
      </c>
      <c r="L15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-9707.2000000000007</v>
      </c>
      <c r="M15" s="7">
        <f>Table23453456879111215141617181920212223242526272834567891011345678910111241012[[#This Row],[Cash]]-Table23453456879111215141617181920212223242526272834567891011345678910111241012[[#This Row],[Expense]]</f>
        <v>-7060</v>
      </c>
      <c r="N15" s="45"/>
      <c r="O15" s="8">
        <f t="shared" si="11"/>
        <v>45817</v>
      </c>
      <c r="P15" s="9">
        <f>Q15/3</f>
        <v>952.5</v>
      </c>
      <c r="Q15" s="9">
        <f>S15*0.3</f>
        <v>2857.5</v>
      </c>
      <c r="R15" s="9">
        <f t="shared" si="12"/>
        <v>6667.5</v>
      </c>
      <c r="S15" s="9">
        <f t="shared" ref="S15:S20" si="16">T15+U15</f>
        <v>9525</v>
      </c>
      <c r="T15" s="9">
        <f t="shared" si="13"/>
        <v>2250</v>
      </c>
      <c r="U15" s="9">
        <f t="shared" si="14"/>
        <v>7275</v>
      </c>
      <c r="V15" s="9">
        <f t="shared" si="15"/>
        <v>1360</v>
      </c>
    </row>
    <row r="16" spans="1:22" x14ac:dyDescent="0.35">
      <c r="A16" s="6">
        <v>45822</v>
      </c>
      <c r="B16" s="7">
        <f>Table23453456879111215141617181920212223242526272834567891011345678910111241012[[#This Row],[Profit]]-Table23453456879111215141617181920212223242526272834567891011345678910111241012[[#This Row],[Mulbhag]]</f>
        <v>2036.7999999999997</v>
      </c>
      <c r="C16" s="28">
        <f>Table23453456879111215141617181920212223242526272834567891011345678910111241012[[#This Row],[Profit]]/3</f>
        <v>1018.4</v>
      </c>
      <c r="D16" s="7">
        <f t="shared" si="0"/>
        <v>3055.2</v>
      </c>
      <c r="E16" s="7">
        <f t="shared" si="1"/>
        <v>7128.8</v>
      </c>
      <c r="F16" s="7">
        <f t="shared" si="2"/>
        <v>10184</v>
      </c>
      <c r="G16" s="7">
        <v>590</v>
      </c>
      <c r="H16" s="7">
        <v>9594</v>
      </c>
      <c r="I16" s="7">
        <f>IFERROR(VLOOKUP(Table23453456879111215141617181920212223242526272834567891011345678910111241012[[#This Row],[Date]],'June Expense'!H14:K262,3,0),0)</f>
        <v>4480</v>
      </c>
      <c r="J16" s="7">
        <f>IFERROR(VLOOKUP(Table23453456879111215141617181920212223242526272834567891011345678910111241012[[#This Row],[Date]],'June Expense'!H14:K262,4,0),0)</f>
        <v>0</v>
      </c>
      <c r="K16" s="7">
        <f>Table23453456879111215141617181920212223242526272834567891011345678910111241012[[#This Row],[Account Transfer]]-Table23453456879111215141617181920212223242526272834567891011345678910111241012[[#This Row],[Expense Online]]</f>
        <v>9594</v>
      </c>
      <c r="L16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-6945.2</v>
      </c>
      <c r="M16" s="7">
        <f>Table23453456879111215141617181920212223242526272834567891011345678910111241012[[#This Row],[Cash]]-Table23453456879111215141617181920212223242526272834567891011345678910111241012[[#This Row],[Expense]]</f>
        <v>-3890</v>
      </c>
      <c r="N16" s="45"/>
      <c r="O16" s="10">
        <f t="shared" si="11"/>
        <v>45818</v>
      </c>
      <c r="P16" s="11">
        <f t="shared" ref="P16:P20" si="17">Q16/3</f>
        <v>2357</v>
      </c>
      <c r="Q16" s="11">
        <f t="shared" ref="Q16:Q20" si="18">S16*0.3</f>
        <v>7071</v>
      </c>
      <c r="R16" s="11">
        <f t="shared" si="12"/>
        <v>16499</v>
      </c>
      <c r="S16" s="11">
        <f t="shared" si="16"/>
        <v>23570</v>
      </c>
      <c r="T16" s="11">
        <f t="shared" si="13"/>
        <v>4380</v>
      </c>
      <c r="U16" s="11">
        <f t="shared" si="14"/>
        <v>19190</v>
      </c>
      <c r="V16" s="11">
        <f t="shared" si="15"/>
        <v>2440</v>
      </c>
    </row>
    <row r="17" spans="1:22" x14ac:dyDescent="0.35">
      <c r="A17" s="6">
        <v>45823</v>
      </c>
      <c r="B17" s="7">
        <f>Table23453456879111215141617181920212223242526272834567891011345678910111241012[[#This Row],[Profit]]-Table23453456879111215141617181920212223242526272834567891011345678910111241012[[#This Row],[Mulbhag]]</f>
        <v>1418.1999999999998</v>
      </c>
      <c r="C17" s="28">
        <f>Table23453456879111215141617181920212223242526272834567891011345678910111241012[[#This Row],[Profit]]/3</f>
        <v>709.09999999999991</v>
      </c>
      <c r="D17" s="7">
        <f t="shared" si="0"/>
        <v>2127.2999999999997</v>
      </c>
      <c r="E17" s="7">
        <f t="shared" si="1"/>
        <v>4963.7000000000007</v>
      </c>
      <c r="F17" s="7">
        <f t="shared" si="2"/>
        <v>7091</v>
      </c>
      <c r="G17" s="7">
        <v>2750</v>
      </c>
      <c r="H17" s="7">
        <v>4341</v>
      </c>
      <c r="I17" s="7">
        <f>IFERROR(VLOOKUP(Table23453456879111215141617181920212223242526272834567891011345678910111241012[[#This Row],[Date]],'June Expense'!H15:K263,3,0),0)</f>
        <v>395</v>
      </c>
      <c r="J17" s="7">
        <f>IFERROR(VLOOKUP(Table23453456879111215141617181920212223242526272834567891011345678910111241012[[#This Row],[Date]],'June Expense'!H15:K263,4,0),0)</f>
        <v>0</v>
      </c>
      <c r="K17" s="7">
        <f>Table23453456879111215141617181920212223242526272834567891011345678910111241012[[#This Row],[Account Transfer]]-Table23453456879111215141617181920212223242526272834567891011345678910111241012[[#This Row],[Expense Online]]</f>
        <v>4341</v>
      </c>
      <c r="L17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227.70000000000027</v>
      </c>
      <c r="M17" s="7">
        <f>Table23453456879111215141617181920212223242526272834567891011345678910111241012[[#This Row],[Cash]]-Table23453456879111215141617181920212223242526272834567891011345678910111241012[[#This Row],[Expense]]</f>
        <v>2355</v>
      </c>
      <c r="N17" s="45"/>
      <c r="O17" s="8">
        <f t="shared" si="11"/>
        <v>45819</v>
      </c>
      <c r="P17" s="9">
        <f t="shared" si="17"/>
        <v>1588</v>
      </c>
      <c r="Q17" s="9">
        <f t="shared" si="18"/>
        <v>4764</v>
      </c>
      <c r="R17" s="9">
        <f t="shared" si="12"/>
        <v>11116</v>
      </c>
      <c r="S17" s="9">
        <f t="shared" si="16"/>
        <v>15880</v>
      </c>
      <c r="T17" s="9">
        <f t="shared" si="13"/>
        <v>5100</v>
      </c>
      <c r="U17" s="9">
        <f t="shared" si="14"/>
        <v>10780</v>
      </c>
      <c r="V17" s="9">
        <f t="shared" si="15"/>
        <v>1270</v>
      </c>
    </row>
    <row r="18" spans="1:22" x14ac:dyDescent="0.35">
      <c r="A18" s="6">
        <v>45824</v>
      </c>
      <c r="B18" s="7">
        <f>Table23453456879111215141617181920212223242526272834567891011345678910111241012[[#This Row],[Profit]]-Table23453456879111215141617181920212223242526272834567891011345678910111241012[[#This Row],[Mulbhag]]</f>
        <v>1476</v>
      </c>
      <c r="C18" s="28">
        <f>Table23453456879111215141617181920212223242526272834567891011345678910111241012[[#This Row],[Profit]]/3</f>
        <v>738</v>
      </c>
      <c r="D18" s="7">
        <f t="shared" si="0"/>
        <v>2214</v>
      </c>
      <c r="E18" s="7">
        <f t="shared" si="1"/>
        <v>5166</v>
      </c>
      <c r="F18" s="7">
        <f t="shared" si="2"/>
        <v>7380</v>
      </c>
      <c r="G18" s="7">
        <v>2280</v>
      </c>
      <c r="H18" s="7">
        <v>5100</v>
      </c>
      <c r="I18" s="7">
        <f>IFERROR(VLOOKUP(Table23453456879111215141617181920212223242526272834567891011345678910111241012[[#This Row],[Date]],'June Expense'!H16:K264,3,0),0)</f>
        <v>200</v>
      </c>
      <c r="J18" s="7">
        <f>IFERROR(VLOOKUP(Table23453456879111215141617181920212223242526272834567891011345678910111241012[[#This Row],[Date]],'June Expense'!H16:K264,4,0),0)</f>
        <v>0</v>
      </c>
      <c r="K18" s="7">
        <f>Table23453456879111215141617181920212223242526272834567891011345678910111241012[[#This Row],[Account Transfer]]-Table23453456879111215141617181920212223242526272834567891011345678910111241012[[#This Row],[Expense Online]]</f>
        <v>5100</v>
      </c>
      <c r="L18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-134</v>
      </c>
      <c r="M18" s="7">
        <f>Table23453456879111215141617181920212223242526272834567891011345678910111241012[[#This Row],[Cash]]-Table23453456879111215141617181920212223242526272834567891011345678910111241012[[#This Row],[Expense]]</f>
        <v>2080</v>
      </c>
      <c r="N18" s="45"/>
      <c r="O18" s="10">
        <f t="shared" si="11"/>
        <v>45820</v>
      </c>
      <c r="P18" s="11">
        <f t="shared" si="17"/>
        <v>3109</v>
      </c>
      <c r="Q18" s="11">
        <f t="shared" si="18"/>
        <v>9327</v>
      </c>
      <c r="R18" s="11">
        <f t="shared" si="12"/>
        <v>21763</v>
      </c>
      <c r="S18" s="11">
        <f t="shared" si="16"/>
        <v>31090</v>
      </c>
      <c r="T18" s="11">
        <f t="shared" si="13"/>
        <v>7830</v>
      </c>
      <c r="U18" s="11">
        <f t="shared" si="14"/>
        <v>23260</v>
      </c>
      <c r="V18" s="11">
        <f t="shared" si="15"/>
        <v>1130</v>
      </c>
    </row>
    <row r="19" spans="1:22" x14ac:dyDescent="0.35">
      <c r="A19" s="6">
        <v>45825</v>
      </c>
      <c r="B19" s="7">
        <f>Table23453456879111215141617181920212223242526272834567891011345678910111241012[[#This Row],[Profit]]-Table23453456879111215141617181920212223242526272834567891011345678910111241012[[#This Row],[Mulbhag]]</f>
        <v>3476</v>
      </c>
      <c r="C19" s="28">
        <f>Table23453456879111215141617181920212223242526272834567891011345678910111241012[[#This Row],[Profit]]/3</f>
        <v>1738</v>
      </c>
      <c r="D19" s="7">
        <f t="shared" si="0"/>
        <v>5214</v>
      </c>
      <c r="E19" s="7">
        <f t="shared" si="1"/>
        <v>12166</v>
      </c>
      <c r="F19" s="7">
        <f t="shared" si="2"/>
        <v>17380</v>
      </c>
      <c r="G19" s="7">
        <v>14450</v>
      </c>
      <c r="H19" s="7">
        <v>2930</v>
      </c>
      <c r="I19" s="7">
        <f>IFERROR(VLOOKUP(Table23453456879111215141617181920212223242526272834567891011345678910111241012[[#This Row],[Date]],'June Expense'!H17:K265,3,0),0)</f>
        <v>11440</v>
      </c>
      <c r="J19" s="7">
        <f>IFERROR(VLOOKUP(Table23453456879111215141617181920212223242526272834567891011345678910111241012[[#This Row],[Date]],'June Expense'!H17:K265,4,0),0)</f>
        <v>0</v>
      </c>
      <c r="K19" s="7">
        <f>Table23453456879111215141617181920212223242526272834567891011345678910111241012[[#This Row],[Account Transfer]]-Table23453456879111215141617181920212223242526272834567891011345678910111241012[[#This Row],[Expense Online]]</f>
        <v>2930</v>
      </c>
      <c r="L19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-2204</v>
      </c>
      <c r="M19" s="7">
        <f>Table23453456879111215141617181920212223242526272834567891011345678910111241012[[#This Row],[Cash]]-Table23453456879111215141617181920212223242526272834567891011345678910111241012[[#This Row],[Expense]]</f>
        <v>3010</v>
      </c>
      <c r="N19" s="45"/>
      <c r="O19" s="8">
        <f t="shared" si="11"/>
        <v>45821</v>
      </c>
      <c r="P19" s="9">
        <f t="shared" si="17"/>
        <v>882.4</v>
      </c>
      <c r="Q19" s="9">
        <f t="shared" si="18"/>
        <v>2647.2</v>
      </c>
      <c r="R19" s="9">
        <f t="shared" si="12"/>
        <v>6176.8</v>
      </c>
      <c r="S19" s="9">
        <f t="shared" si="16"/>
        <v>8824</v>
      </c>
      <c r="T19" s="9">
        <f t="shared" si="13"/>
        <v>1050</v>
      </c>
      <c r="U19" s="9">
        <f t="shared" si="14"/>
        <v>7774</v>
      </c>
      <c r="V19" s="9">
        <f t="shared" si="15"/>
        <v>8110</v>
      </c>
    </row>
    <row r="20" spans="1:22" x14ac:dyDescent="0.35">
      <c r="A20" s="6">
        <v>45826</v>
      </c>
      <c r="B20" s="7">
        <f>Table23453456879111215141617181920212223242526272834567891011345678910111241012[[#This Row],[Profit]]-Table23453456879111215141617181920212223242526272834567891011345678910111241012[[#This Row],[Mulbhag]]</f>
        <v>4960</v>
      </c>
      <c r="C20" s="28">
        <f>Table23453456879111215141617181920212223242526272834567891011345678910111241012[[#This Row],[Profit]]/3</f>
        <v>2480</v>
      </c>
      <c r="D20" s="7">
        <f t="shared" si="0"/>
        <v>7440</v>
      </c>
      <c r="E20" s="7">
        <f t="shared" si="1"/>
        <v>17360</v>
      </c>
      <c r="F20" s="7">
        <f t="shared" si="2"/>
        <v>24800</v>
      </c>
      <c r="G20" s="7">
        <v>6550</v>
      </c>
      <c r="H20" s="7">
        <v>18250</v>
      </c>
      <c r="I20" s="7">
        <f>IFERROR(VLOOKUP(Table23453456879111215141617181920212223242526272834567891011345678910111241012[[#This Row],[Date]],'June Expense'!H18:K266,3,0),0)</f>
        <v>2380</v>
      </c>
      <c r="J20" s="7">
        <f>IFERROR(VLOOKUP(Table23453456879111215141617181920212223242526272834567891011345678910111241012[[#This Row],[Date]],'June Expense'!H18:K266,4,0),0)</f>
        <v>0</v>
      </c>
      <c r="K20" s="7">
        <f>Table23453456879111215141617181920212223242526272834567891011345678910111241012[[#This Row],[Account Transfer]]-Table23453456879111215141617181920212223242526272834567891011345678910111241012[[#This Row],[Expense Online]]</f>
        <v>18250</v>
      </c>
      <c r="L20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-3270</v>
      </c>
      <c r="M20" s="7">
        <f>Table23453456879111215141617181920212223242526272834567891011345678910111241012[[#This Row],[Cash]]-Table23453456879111215141617181920212223242526272834567891011345678910111241012[[#This Row],[Expense]]</f>
        <v>4170</v>
      </c>
      <c r="N20" s="45"/>
      <c r="O20" s="10">
        <f t="shared" si="11"/>
        <v>45822</v>
      </c>
      <c r="P20" s="11">
        <f t="shared" si="17"/>
        <v>1018.4</v>
      </c>
      <c r="Q20" s="11">
        <f t="shared" si="18"/>
        <v>3055.2</v>
      </c>
      <c r="R20" s="11">
        <f t="shared" si="12"/>
        <v>7128.8</v>
      </c>
      <c r="S20" s="11">
        <f t="shared" si="16"/>
        <v>10184</v>
      </c>
      <c r="T20" s="11">
        <f t="shared" si="13"/>
        <v>590</v>
      </c>
      <c r="U20" s="11">
        <f t="shared" si="14"/>
        <v>9594</v>
      </c>
      <c r="V20" s="11">
        <f t="shared" si="15"/>
        <v>4480</v>
      </c>
    </row>
    <row r="21" spans="1:22" x14ac:dyDescent="0.35">
      <c r="A21" s="6">
        <v>45827</v>
      </c>
      <c r="B21" s="7">
        <f>Table23453456879111215141617181920212223242526272834567891011345678910111241012[[#This Row],[Profit]]-Table23453456879111215141617181920212223242526272834567891011345678910111241012[[#This Row],[Mulbhag]]</f>
        <v>4370</v>
      </c>
      <c r="C21" s="28">
        <f>Table23453456879111215141617181920212223242526272834567891011345678910111241012[[#This Row],[Profit]]/3</f>
        <v>2185</v>
      </c>
      <c r="D21" s="7">
        <f t="shared" si="0"/>
        <v>6555</v>
      </c>
      <c r="E21" s="7">
        <f t="shared" si="1"/>
        <v>15295</v>
      </c>
      <c r="F21" s="7">
        <f t="shared" si="2"/>
        <v>21850</v>
      </c>
      <c r="G21" s="7">
        <v>650</v>
      </c>
      <c r="H21" s="7">
        <v>21200</v>
      </c>
      <c r="I21" s="7">
        <f>IFERROR(VLOOKUP(Table23453456879111215141617181920212223242526272834567891011345678910111241012[[#This Row],[Date]],'June Expense'!H19:K267,3,0),0)</f>
        <v>590</v>
      </c>
      <c r="J21" s="7">
        <f>IFERROR(VLOOKUP(Table23453456879111215141617181920212223242526272834567891011345678910111241012[[#This Row],[Date]],'June Expense'!H19:K267,4,0),0)</f>
        <v>5000</v>
      </c>
      <c r="K21" s="7">
        <f>Table23453456879111215141617181920212223242526272834567891011345678910111241012[[#This Row],[Account Transfer]]-Table23453456879111215141617181920212223242526272834567891011345678910111241012[[#This Row],[Expense Online]]</f>
        <v>16200</v>
      </c>
      <c r="L21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-6495</v>
      </c>
      <c r="M21" s="7">
        <f>Table23453456879111215141617181920212223242526272834567891011345678910111241012[[#This Row],[Cash]]-Table23453456879111215141617181920212223242526272834567891011345678910111241012[[#This Row],[Expense]]</f>
        <v>60</v>
      </c>
      <c r="N21" s="45"/>
      <c r="O21" s="12" t="s">
        <v>3</v>
      </c>
      <c r="P21" s="12">
        <f>SUM(P14:P20)</f>
        <v>11368.3</v>
      </c>
      <c r="Q21" s="12">
        <f t="shared" ref="Q21:V21" si="19">SUM(Q14:Q20)</f>
        <v>34104.9</v>
      </c>
      <c r="R21" s="12">
        <f t="shared" si="19"/>
        <v>79578.100000000006</v>
      </c>
      <c r="S21" s="12">
        <f t="shared" si="19"/>
        <v>113683</v>
      </c>
      <c r="T21" s="12">
        <f t="shared" si="19"/>
        <v>32150</v>
      </c>
      <c r="U21" s="12">
        <f t="shared" si="19"/>
        <v>81533</v>
      </c>
      <c r="V21" s="12">
        <f t="shared" si="19"/>
        <v>19850</v>
      </c>
    </row>
    <row r="22" spans="1:22" x14ac:dyDescent="0.35">
      <c r="A22" s="6">
        <v>45828</v>
      </c>
      <c r="B22" s="7">
        <f>Table23453456879111215141617181920212223242526272834567891011345678910111241012[[#This Row],[Profit]]-Table23453456879111215141617181920212223242526272834567891011345678910111241012[[#This Row],[Mulbhag]]</f>
        <v>1392</v>
      </c>
      <c r="C22" s="28">
        <f>Table23453456879111215141617181920212223242526272834567891011345678910111241012[[#This Row],[Profit]]/3</f>
        <v>696</v>
      </c>
      <c r="D22" s="7">
        <f t="shared" si="0"/>
        <v>2088</v>
      </c>
      <c r="E22" s="7">
        <f t="shared" si="1"/>
        <v>4872</v>
      </c>
      <c r="F22" s="7">
        <f t="shared" si="2"/>
        <v>6960</v>
      </c>
      <c r="G22" s="7">
        <v>2140</v>
      </c>
      <c r="H22" s="7">
        <v>4820</v>
      </c>
      <c r="I22" s="7">
        <f>IFERROR(VLOOKUP(Table23453456879111215141617181920212223242526272834567891011345678910111241012[[#This Row],[Date]],'June Expense'!H20:K268,3,0),0)</f>
        <v>740</v>
      </c>
      <c r="J22" s="7">
        <f>IFERROR(VLOOKUP(Table23453456879111215141617181920212223242526272834567891011345678910111241012[[#This Row],[Date]],'June Expense'!H20:K268,4,0),0)</f>
        <v>60000</v>
      </c>
      <c r="K22" s="7">
        <f>Table23453456879111215141617181920212223242526272834567891011345678910111241012[[#This Row],[Account Transfer]]-Table23453456879111215141617181920212223242526272834567891011345678910111241012[[#This Row],[Expense Online]]</f>
        <v>-55180</v>
      </c>
      <c r="L22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-688</v>
      </c>
      <c r="M22" s="7">
        <f>Table23453456879111215141617181920212223242526272834567891011345678910111241012[[#This Row],[Cash]]-Table23453456879111215141617181920212223242526272834567891011345678910111241012[[#This Row],[Expense]]</f>
        <v>1400</v>
      </c>
      <c r="N22" s="45"/>
      <c r="O22" s="12" t="s">
        <v>7</v>
      </c>
      <c r="P22" s="12"/>
      <c r="Q22" s="12">
        <f>Q21/3</f>
        <v>11368.300000000001</v>
      </c>
      <c r="R22" s="12"/>
      <c r="S22" s="12">
        <f>R22+Q22</f>
        <v>11368.300000000001</v>
      </c>
      <c r="T22" s="11"/>
      <c r="U22" s="11"/>
      <c r="V22" s="11"/>
    </row>
    <row r="23" spans="1:22" x14ac:dyDescent="0.35">
      <c r="A23" s="6">
        <v>45829</v>
      </c>
      <c r="B23" s="7">
        <f>Table23453456879111215141617181920212223242526272834567891011345678910111241012[[#This Row],[Profit]]-Table23453456879111215141617181920212223242526272834567891011345678910111241012[[#This Row],[Mulbhag]]</f>
        <v>1358</v>
      </c>
      <c r="C23" s="28">
        <f>Table23453456879111215141617181920212223242526272834567891011345678910111241012[[#This Row],[Profit]]/3</f>
        <v>679</v>
      </c>
      <c r="D23" s="7">
        <f t="shared" si="0"/>
        <v>2037</v>
      </c>
      <c r="E23" s="7">
        <f t="shared" si="1"/>
        <v>4753</v>
      </c>
      <c r="F23" s="7">
        <f t="shared" si="2"/>
        <v>6790</v>
      </c>
      <c r="G23" s="7">
        <v>5070</v>
      </c>
      <c r="H23" s="7">
        <v>1720</v>
      </c>
      <c r="I23" s="7">
        <f>IFERROR(VLOOKUP(Table23453456879111215141617181920212223242526272834567891011345678910111241012[[#This Row],[Date]],'June Expense'!H21:K269,3,0),0)</f>
        <v>80</v>
      </c>
      <c r="J23" s="7">
        <f>IFERROR(VLOOKUP(Table23453456879111215141617181920212223242526272834567891011345678910111241012[[#This Row],[Date]],'June Expense'!H21:K269,4,0),0)</f>
        <v>0</v>
      </c>
      <c r="K23" s="7">
        <f>Table23453456879111215141617181920212223242526272834567891011345678910111241012[[#This Row],[Account Transfer]]-Table23453456879111215141617181920212223242526272834567891011345678910111241012[[#This Row],[Expense Online]]</f>
        <v>1720</v>
      </c>
      <c r="L23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2953</v>
      </c>
      <c r="M23" s="7">
        <f>Table23453456879111215141617181920212223242526272834567891011345678910111241012[[#This Row],[Cash]]-Table23453456879111215141617181920212223242526272834567891011345678910111241012[[#This Row],[Expense]]</f>
        <v>4990</v>
      </c>
      <c r="N23" s="45"/>
    </row>
    <row r="24" spans="1:22" x14ac:dyDescent="0.35">
      <c r="A24" s="6">
        <v>45830</v>
      </c>
      <c r="B24" s="7">
        <f>Table23453456879111215141617181920212223242526272834567891011345678910111241012[[#This Row],[Profit]]-Table23453456879111215141617181920212223242526272834567891011345678910111241012[[#This Row],[Mulbhag]]</f>
        <v>1328</v>
      </c>
      <c r="C24" s="28">
        <f>Table23453456879111215141617181920212223242526272834567891011345678910111241012[[#This Row],[Profit]]/3</f>
        <v>664</v>
      </c>
      <c r="D24" s="7">
        <f t="shared" si="0"/>
        <v>1992</v>
      </c>
      <c r="E24" s="7">
        <f t="shared" si="1"/>
        <v>4648</v>
      </c>
      <c r="F24" s="7">
        <f t="shared" si="2"/>
        <v>6640</v>
      </c>
      <c r="G24" s="7">
        <v>3230</v>
      </c>
      <c r="H24" s="7">
        <v>3410</v>
      </c>
      <c r="I24" s="7">
        <f>IFERROR(VLOOKUP(Table23453456879111215141617181920212223242526272834567891011345678910111241012[[#This Row],[Date]],'June Expense'!H22:K270,3,0),0)</f>
        <v>340</v>
      </c>
      <c r="J24" s="7">
        <f>IFERROR(VLOOKUP(Table23453456879111215141617181920212223242526272834567891011345678910111241012[[#This Row],[Date]],'June Expense'!H22:K270,4,0),0)</f>
        <v>0</v>
      </c>
      <c r="K24" s="7">
        <f>Table23453456879111215141617181920212223242526272834567891011345678910111241012[[#This Row],[Account Transfer]]-Table23453456879111215141617181920212223242526272834567891011345678910111241012[[#This Row],[Expense Online]]</f>
        <v>3410</v>
      </c>
      <c r="L24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898</v>
      </c>
      <c r="M24" s="7">
        <f>Table23453456879111215141617181920212223242526272834567891011345678910111241012[[#This Row],[Cash]]-Table23453456879111215141617181920212223242526272834567891011345678910111241012[[#This Row],[Expense]]</f>
        <v>2890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45831</v>
      </c>
      <c r="B25" s="7">
        <f>Table23453456879111215141617181920212223242526272834567891011345678910111241012[[#This Row],[Profit]]-Table23453456879111215141617181920212223242526272834567891011345678910111241012[[#This Row],[Mulbhag]]</f>
        <v>3302</v>
      </c>
      <c r="C25" s="28">
        <f>Table23453456879111215141617181920212223242526272834567891011345678910111241012[[#This Row],[Profit]]/3</f>
        <v>1651</v>
      </c>
      <c r="D25" s="7">
        <f t="shared" si="0"/>
        <v>4953</v>
      </c>
      <c r="E25" s="7">
        <f t="shared" si="1"/>
        <v>11557</v>
      </c>
      <c r="F25" s="7">
        <f t="shared" si="2"/>
        <v>16510</v>
      </c>
      <c r="G25" s="7">
        <v>6100</v>
      </c>
      <c r="H25" s="7">
        <v>10410</v>
      </c>
      <c r="I25" s="7">
        <f>IFERROR(VLOOKUP(Table23453456879111215141617181920212223242526272834567891011345678910111241012[[#This Row],[Date]],'June Expense'!H23:K271,3,0),0)</f>
        <v>570</v>
      </c>
      <c r="J25" s="7">
        <f>IFERROR(VLOOKUP(Table23453456879111215141617181920212223242526272834567891011345678910111241012[[#This Row],[Date]],'June Expense'!H23:K271,4,0),0)</f>
        <v>12090</v>
      </c>
      <c r="K25" s="7">
        <f>Table23453456879111215141617181920212223242526272834567891011345678910111241012[[#This Row],[Account Transfer]]-Table23453456879111215141617181920212223242526272834567891011345678910111241012[[#This Row],[Expense Online]]</f>
        <v>-1680</v>
      </c>
      <c r="L25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577</v>
      </c>
      <c r="M25" s="7">
        <f>Table23453456879111215141617181920212223242526272834567891011345678910111241012[[#This Row],[Cash]]-Table23453456879111215141617181920212223242526272834567891011345678910111241012[[#This Row],[Expense]]</f>
        <v>5530</v>
      </c>
      <c r="N25" s="45"/>
      <c r="O25" s="10">
        <f t="shared" ref="O25:O31" si="20">A17</f>
        <v>45823</v>
      </c>
      <c r="P25" s="11">
        <f>Q25/3</f>
        <v>709.09999999999991</v>
      </c>
      <c r="Q25" s="11">
        <f>S25*0.3</f>
        <v>2127.2999999999997</v>
      </c>
      <c r="R25" s="11">
        <f t="shared" ref="R25:R31" si="21">S25-Q25</f>
        <v>4963.7000000000007</v>
      </c>
      <c r="S25" s="11">
        <f>T25+U25</f>
        <v>7091</v>
      </c>
      <c r="T25" s="11">
        <f t="shared" ref="T25:T31" si="22">VLOOKUP(O25,$A$1:$J$34,7,0)</f>
        <v>2750</v>
      </c>
      <c r="U25" s="11">
        <f t="shared" ref="U25:U31" si="23">VLOOKUP(O25,$A$1:$J$34,8,0)</f>
        <v>4341</v>
      </c>
      <c r="V25" s="11">
        <f t="shared" ref="V25:V31" si="24">VLOOKUP(O25,$A$1:$J$34,9,0)</f>
        <v>395</v>
      </c>
    </row>
    <row r="26" spans="1:22" x14ac:dyDescent="0.35">
      <c r="A26" s="6">
        <v>45832</v>
      </c>
      <c r="B26" s="7">
        <f>Table23453456879111215141617181920212223242526272834567891011345678910111241012[[#This Row],[Profit]]-Table23453456879111215141617181920212223242526272834567891011345678910111241012[[#This Row],[Mulbhag]]</f>
        <v>5702</v>
      </c>
      <c r="C26" s="28">
        <f>Table23453456879111215141617181920212223242526272834567891011345678910111241012[[#This Row],[Profit]]/3</f>
        <v>2851</v>
      </c>
      <c r="D26" s="7">
        <f t="shared" si="0"/>
        <v>8553</v>
      </c>
      <c r="E26" s="7">
        <f t="shared" si="1"/>
        <v>19957</v>
      </c>
      <c r="F26" s="7">
        <f t="shared" si="2"/>
        <v>28510</v>
      </c>
      <c r="G26" s="7">
        <v>22500</v>
      </c>
      <c r="H26" s="7">
        <v>6010</v>
      </c>
      <c r="I26" s="7">
        <f>IFERROR(VLOOKUP(Table23453456879111215141617181920212223242526272834567891011345678910111241012[[#This Row],[Date]],'June Expense'!H24:K272,3,0),0)</f>
        <v>54140</v>
      </c>
      <c r="J26" s="7">
        <f>IFERROR(VLOOKUP(Table23453456879111215141617181920212223242526272834567891011345678910111241012[[#This Row],[Date]],'June Expense'!H24:K272,4,0),0)</f>
        <v>18600</v>
      </c>
      <c r="K26" s="7">
        <f>Table23453456879111215141617181920212223242526272834567891011345678910111241012[[#This Row],[Account Transfer]]-Table23453456879111215141617181920212223242526272834567891011345678910111241012[[#This Row],[Expense Online]]</f>
        <v>-12590</v>
      </c>
      <c r="L26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-40193</v>
      </c>
      <c r="M26" s="7">
        <f>Table23453456879111215141617181920212223242526272834567891011345678910111241012[[#This Row],[Cash]]-Table23453456879111215141617181920212223242526272834567891011345678910111241012[[#This Row],[Expense]]</f>
        <v>-31640</v>
      </c>
      <c r="N26" s="45"/>
      <c r="O26" s="8">
        <f t="shared" si="20"/>
        <v>45824</v>
      </c>
      <c r="P26" s="9">
        <f>Q26/3</f>
        <v>738</v>
      </c>
      <c r="Q26" s="9">
        <f>S26*0.3</f>
        <v>2214</v>
      </c>
      <c r="R26" s="9">
        <f t="shared" si="21"/>
        <v>5166</v>
      </c>
      <c r="S26" s="9">
        <f t="shared" ref="S26:S31" si="25">T26+U26</f>
        <v>7380</v>
      </c>
      <c r="T26" s="9">
        <f t="shared" si="22"/>
        <v>2280</v>
      </c>
      <c r="U26" s="9">
        <f t="shared" si="23"/>
        <v>5100</v>
      </c>
      <c r="V26" s="9">
        <f t="shared" si="24"/>
        <v>200</v>
      </c>
    </row>
    <row r="27" spans="1:22" x14ac:dyDescent="0.35">
      <c r="A27" s="6">
        <v>45833</v>
      </c>
      <c r="B27" s="7">
        <f>Table23453456879111215141617181920212223242526272834567891011345678910111241012[[#This Row],[Profit]]-Table23453456879111215141617181920212223242526272834567891011345678910111241012[[#This Row],[Mulbhag]]</f>
        <v>5220</v>
      </c>
      <c r="C27" s="28">
        <f>Table23453456879111215141617181920212223242526272834567891011345678910111241012[[#This Row],[Profit]]/3</f>
        <v>2610</v>
      </c>
      <c r="D27" s="7">
        <f t="shared" si="0"/>
        <v>7830</v>
      </c>
      <c r="E27" s="7">
        <f t="shared" si="1"/>
        <v>18270</v>
      </c>
      <c r="F27" s="7">
        <f t="shared" si="2"/>
        <v>26100</v>
      </c>
      <c r="G27" s="7">
        <v>780</v>
      </c>
      <c r="H27" s="7">
        <v>25320</v>
      </c>
      <c r="I27" s="7">
        <f>IFERROR(VLOOKUP(Table23453456879111215141617181920212223242526272834567891011345678910111241012[[#This Row],[Date]],'June Expense'!H25:K273,3,0),0)</f>
        <v>1110</v>
      </c>
      <c r="J27" s="7">
        <f>IFERROR(VLOOKUP(Table23453456879111215141617181920212223242526272834567891011345678910111241012[[#This Row],[Date]],'June Expense'!H25:K273,4,0),0)</f>
        <v>0</v>
      </c>
      <c r="K27" s="7">
        <f>Table23453456879111215141617181920212223242526272834567891011345678910111241012[[#This Row],[Account Transfer]]-Table23453456879111215141617181920212223242526272834567891011345678910111241012[[#This Row],[Expense Online]]</f>
        <v>25320</v>
      </c>
      <c r="L27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-8160</v>
      </c>
      <c r="M27" s="7">
        <f>Table23453456879111215141617181920212223242526272834567891011345678910111241012[[#This Row],[Cash]]-Table23453456879111215141617181920212223242526272834567891011345678910111241012[[#This Row],[Expense]]</f>
        <v>-330</v>
      </c>
      <c r="N27" s="45"/>
      <c r="O27" s="10">
        <f t="shared" si="20"/>
        <v>45825</v>
      </c>
      <c r="P27" s="11">
        <f t="shared" ref="P27:P31" si="26">Q27/3</f>
        <v>1738</v>
      </c>
      <c r="Q27" s="11">
        <f t="shared" ref="Q27:Q31" si="27">S27*0.3</f>
        <v>5214</v>
      </c>
      <c r="R27" s="11">
        <f t="shared" si="21"/>
        <v>12166</v>
      </c>
      <c r="S27" s="11">
        <f t="shared" si="25"/>
        <v>17380</v>
      </c>
      <c r="T27" s="11">
        <f t="shared" si="22"/>
        <v>14450</v>
      </c>
      <c r="U27" s="11">
        <f t="shared" si="23"/>
        <v>2930</v>
      </c>
      <c r="V27" s="11">
        <f t="shared" si="24"/>
        <v>11440</v>
      </c>
    </row>
    <row r="28" spans="1:22" x14ac:dyDescent="0.35">
      <c r="A28" s="6">
        <v>45834</v>
      </c>
      <c r="B28" s="7">
        <f>Table23453456879111215141617181920212223242526272834567891011345678910111241012[[#This Row],[Profit]]-Table23453456879111215141617181920212223242526272834567891011345678910111241012[[#This Row],[Mulbhag]]</f>
        <v>5182</v>
      </c>
      <c r="C28" s="28">
        <f>Table23453456879111215141617181920212223242526272834567891011345678910111241012[[#This Row],[Profit]]/3</f>
        <v>2591</v>
      </c>
      <c r="D28" s="7">
        <f t="shared" si="0"/>
        <v>7773</v>
      </c>
      <c r="E28" s="7">
        <f t="shared" si="1"/>
        <v>18137</v>
      </c>
      <c r="F28" s="7">
        <f t="shared" si="2"/>
        <v>25910</v>
      </c>
      <c r="G28" s="7">
        <v>5410</v>
      </c>
      <c r="H28" s="7">
        <f>19700+800</f>
        <v>20500</v>
      </c>
      <c r="I28" s="7">
        <f>IFERROR(VLOOKUP(Table23453456879111215141617181920212223242526272834567891011345678910111241012[[#This Row],[Date]],'June Expense'!H26:K274,3,0),0)</f>
        <v>1250</v>
      </c>
      <c r="J28" s="7">
        <f>IFERROR(VLOOKUP(Table23453456879111215141617181920212223242526272834567891011345678910111241012[[#This Row],[Date]],'June Expense'!H26:K274,4,0),0)</f>
        <v>0</v>
      </c>
      <c r="K28" s="7">
        <f>Table23453456879111215141617181920212223242526272834567891011345678910111241012[[#This Row],[Account Transfer]]-Table23453456879111215141617181920212223242526272834567891011345678910111241012[[#This Row],[Expense Online]]</f>
        <v>20500</v>
      </c>
      <c r="L28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-3613</v>
      </c>
      <c r="M28" s="7">
        <f>Table23453456879111215141617181920212223242526272834567891011345678910111241012[[#This Row],[Cash]]-Table23453456879111215141617181920212223242526272834567891011345678910111241012[[#This Row],[Expense]]</f>
        <v>4160</v>
      </c>
      <c r="N28" s="45"/>
      <c r="O28" s="8">
        <f t="shared" si="20"/>
        <v>45826</v>
      </c>
      <c r="P28" s="9">
        <f t="shared" si="26"/>
        <v>2480</v>
      </c>
      <c r="Q28" s="9">
        <f t="shared" si="27"/>
        <v>7440</v>
      </c>
      <c r="R28" s="9">
        <f t="shared" si="21"/>
        <v>17360</v>
      </c>
      <c r="S28" s="9">
        <f t="shared" si="25"/>
        <v>24800</v>
      </c>
      <c r="T28" s="9">
        <f t="shared" si="22"/>
        <v>6550</v>
      </c>
      <c r="U28" s="9">
        <f t="shared" si="23"/>
        <v>18250</v>
      </c>
      <c r="V28" s="9">
        <f t="shared" si="24"/>
        <v>2380</v>
      </c>
    </row>
    <row r="29" spans="1:22" x14ac:dyDescent="0.35">
      <c r="A29" s="6">
        <v>45835</v>
      </c>
      <c r="B29" s="7">
        <f>Table23453456879111215141617181920212223242526272834567891011345678910111241012[[#This Row],[Profit]]-Table23453456879111215141617181920212223242526272834567891011345678910111241012[[#This Row],[Mulbhag]]</f>
        <v>2152</v>
      </c>
      <c r="C29" s="28">
        <f>Table23453456879111215141617181920212223242526272834567891011345678910111241012[[#This Row],[Profit]]/3</f>
        <v>1076</v>
      </c>
      <c r="D29" s="7">
        <f t="shared" si="0"/>
        <v>3228</v>
      </c>
      <c r="E29" s="7">
        <f t="shared" si="1"/>
        <v>7532</v>
      </c>
      <c r="F29" s="7">
        <f t="shared" si="2"/>
        <v>10760</v>
      </c>
      <c r="G29" s="7">
        <v>3300</v>
      </c>
      <c r="H29" s="7">
        <v>7460</v>
      </c>
      <c r="I29" s="7">
        <f>IFERROR(VLOOKUP(Table23453456879111215141617181920212223242526272834567891011345678910111241012[[#This Row],[Date]],'June Expense'!H27:K275,3,0),0)</f>
        <v>22120</v>
      </c>
      <c r="J29" s="7">
        <f>IFERROR(VLOOKUP(Table23453456879111215141617181920212223242526272834567891011345678910111241012[[#This Row],[Date]],'June Expense'!H27:K275,4,0),0)</f>
        <v>0</v>
      </c>
      <c r="K29" s="7">
        <f>Table23453456879111215141617181920212223242526272834567891011345678910111241012[[#This Row],[Account Transfer]]-Table23453456879111215141617181920212223242526272834567891011345678910111241012[[#This Row],[Expense Online]]</f>
        <v>7460</v>
      </c>
      <c r="L29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-22048</v>
      </c>
      <c r="M29" s="7">
        <f>Table23453456879111215141617181920212223242526272834567891011345678910111241012[[#This Row],[Cash]]-Table23453456879111215141617181920212223242526272834567891011345678910111241012[[#This Row],[Expense]]</f>
        <v>-18820</v>
      </c>
      <c r="N29" s="45"/>
      <c r="O29" s="10">
        <f t="shared" si="20"/>
        <v>45827</v>
      </c>
      <c r="P29" s="11">
        <f t="shared" si="26"/>
        <v>2185</v>
      </c>
      <c r="Q29" s="11">
        <f t="shared" si="27"/>
        <v>6555</v>
      </c>
      <c r="R29" s="11">
        <f t="shared" si="21"/>
        <v>15295</v>
      </c>
      <c r="S29" s="11">
        <f t="shared" si="25"/>
        <v>21850</v>
      </c>
      <c r="T29" s="11">
        <f t="shared" si="22"/>
        <v>650</v>
      </c>
      <c r="U29" s="11">
        <f t="shared" si="23"/>
        <v>21200</v>
      </c>
      <c r="V29" s="11">
        <f t="shared" si="24"/>
        <v>590</v>
      </c>
    </row>
    <row r="30" spans="1:22" x14ac:dyDescent="0.35">
      <c r="A30" s="6">
        <v>45836</v>
      </c>
      <c r="B30" s="7">
        <f>Table23453456879111215141617181920212223242526272834567891011345678910111241012[[#This Row],[Profit]]-Table23453456879111215141617181920212223242526272834567891011345678910111241012[[#This Row],[Mulbhag]]</f>
        <v>1345</v>
      </c>
      <c r="C30" s="28">
        <f>Table23453456879111215141617181920212223242526272834567891011345678910111241012[[#This Row],[Profit]]/3</f>
        <v>672.5</v>
      </c>
      <c r="D30" s="7">
        <f t="shared" si="0"/>
        <v>2017.5</v>
      </c>
      <c r="E30" s="7">
        <f t="shared" si="1"/>
        <v>4707.5</v>
      </c>
      <c r="F30" s="7">
        <f t="shared" si="2"/>
        <v>6725</v>
      </c>
      <c r="G30" s="7">
        <v>3030</v>
      </c>
      <c r="H30" s="7">
        <v>3695</v>
      </c>
      <c r="I30" s="7">
        <f>IFERROR(VLOOKUP(Table23453456879111215141617181920212223242526272834567891011345678910111241012[[#This Row],[Date]],'June Expense'!H28:K276,3,0),0)</f>
        <v>7120</v>
      </c>
      <c r="J30" s="7">
        <f>IFERROR(VLOOKUP(Table23453456879111215141617181920212223242526272834567891011345678910111241012[[#This Row],[Date]],'June Expense'!H28:K276,4,0),0)</f>
        <v>0</v>
      </c>
      <c r="K30" s="7">
        <f>Table23453456879111215141617181920212223242526272834567891011345678910111241012[[#This Row],[Account Transfer]]-Table23453456879111215141617181920212223242526272834567891011345678910111241012[[#This Row],[Expense Online]]</f>
        <v>3695</v>
      </c>
      <c r="L30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-6107.5</v>
      </c>
      <c r="M30" s="7">
        <f>Table23453456879111215141617181920212223242526272834567891011345678910111241012[[#This Row],[Cash]]-Table23453456879111215141617181920212223242526272834567891011345678910111241012[[#This Row],[Expense]]</f>
        <v>-4090</v>
      </c>
      <c r="N30" s="45"/>
      <c r="O30" s="8">
        <f t="shared" si="20"/>
        <v>45828</v>
      </c>
      <c r="P30" s="9">
        <f t="shared" si="26"/>
        <v>696</v>
      </c>
      <c r="Q30" s="9">
        <f t="shared" si="27"/>
        <v>2088</v>
      </c>
      <c r="R30" s="9">
        <f t="shared" si="21"/>
        <v>4872</v>
      </c>
      <c r="S30" s="9">
        <f t="shared" si="25"/>
        <v>6960</v>
      </c>
      <c r="T30" s="9">
        <f t="shared" si="22"/>
        <v>2140</v>
      </c>
      <c r="U30" s="9">
        <f t="shared" si="23"/>
        <v>4820</v>
      </c>
      <c r="V30" s="9">
        <f t="shared" si="24"/>
        <v>740</v>
      </c>
    </row>
    <row r="31" spans="1:22" x14ac:dyDescent="0.35">
      <c r="A31" s="6">
        <v>45837</v>
      </c>
      <c r="B31" s="7">
        <f>Table23453456879111215141617181920212223242526272834567891011345678910111241012[[#This Row],[Profit]]-Table23453456879111215141617181920212223242526272834567891011345678910111241012[[#This Row],[Mulbhag]]</f>
        <v>1360</v>
      </c>
      <c r="C31" s="28">
        <f>Table23453456879111215141617181920212223242526272834567891011345678910111241012[[#This Row],[Profit]]/3</f>
        <v>680</v>
      </c>
      <c r="D31" s="7">
        <f t="shared" si="0"/>
        <v>2040</v>
      </c>
      <c r="E31" s="7">
        <f t="shared" si="1"/>
        <v>4760</v>
      </c>
      <c r="F31" s="7">
        <f t="shared" si="2"/>
        <v>6800</v>
      </c>
      <c r="G31" s="7">
        <v>2300</v>
      </c>
      <c r="H31" s="7">
        <v>4500</v>
      </c>
      <c r="I31" s="7">
        <f>IFERROR(VLOOKUP(Table23453456879111215141617181920212223242526272834567891011345678910111241012[[#This Row],[Date]],'June Expense'!H29:K277,3,0),0)</f>
        <v>1370</v>
      </c>
      <c r="J31" s="7">
        <f>IFERROR(VLOOKUP(Table23453456879111215141617181920212223242526272834567891011345678910111241012[[#This Row],[Date]],'June Expense'!H29:K277,4,0),0)</f>
        <v>0</v>
      </c>
      <c r="K31" s="7">
        <f>Table23453456879111215141617181920212223242526272834567891011345678910111241012[[#This Row],[Account Transfer]]-Table23453456879111215141617181920212223242526272834567891011345678910111241012[[#This Row],[Expense Online]]</f>
        <v>4500</v>
      </c>
      <c r="L31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-1110</v>
      </c>
      <c r="M31" s="7">
        <f>Table23453456879111215141617181920212223242526272834567891011345678910111241012[[#This Row],[Cash]]-Table23453456879111215141617181920212223242526272834567891011345678910111241012[[#This Row],[Expense]]</f>
        <v>930</v>
      </c>
      <c r="N31" s="45"/>
      <c r="O31" s="10">
        <f t="shared" si="20"/>
        <v>45829</v>
      </c>
      <c r="P31" s="11">
        <f t="shared" si="26"/>
        <v>679</v>
      </c>
      <c r="Q31" s="11">
        <f t="shared" si="27"/>
        <v>2037</v>
      </c>
      <c r="R31" s="11">
        <f t="shared" si="21"/>
        <v>4753</v>
      </c>
      <c r="S31" s="11">
        <f t="shared" si="25"/>
        <v>6790</v>
      </c>
      <c r="T31" s="11">
        <f t="shared" si="22"/>
        <v>5070</v>
      </c>
      <c r="U31" s="11">
        <f t="shared" si="23"/>
        <v>1720</v>
      </c>
      <c r="V31" s="11">
        <f t="shared" si="24"/>
        <v>80</v>
      </c>
    </row>
    <row r="32" spans="1:22" x14ac:dyDescent="0.35">
      <c r="A32" s="6">
        <v>45838</v>
      </c>
      <c r="B32" s="7">
        <f>Table23453456879111215141617181920212223242526272834567891011345678910111241012[[#This Row],[Profit]]-Table23453456879111215141617181920212223242526272834567891011345678910111241012[[#This Row],[Mulbhag]]</f>
        <v>2644</v>
      </c>
      <c r="C32" s="28">
        <f>Table23453456879111215141617181920212223242526272834567891011345678910111241012[[#This Row],[Profit]]/3</f>
        <v>1322</v>
      </c>
      <c r="D32" s="7">
        <f t="shared" si="0"/>
        <v>3966</v>
      </c>
      <c r="E32" s="7">
        <f t="shared" si="1"/>
        <v>9254</v>
      </c>
      <c r="F32" s="7">
        <f t="shared" si="2"/>
        <v>13220</v>
      </c>
      <c r="G32" s="7">
        <v>2500</v>
      </c>
      <c r="H32" s="7">
        <v>10720</v>
      </c>
      <c r="I32" s="7">
        <f>IFERROR(VLOOKUP(Table23453456879111215141617181920212223242526272834567891011345678910111241012[[#This Row],[Date]],'June Expense'!H30:K278,3,0),0)</f>
        <v>5120</v>
      </c>
      <c r="J32" s="7">
        <f>IFERROR(VLOOKUP(Table23453456879111215141617181920212223242526272834567891011345678910111241012[[#This Row],[Date]],'June Expense'!H30:K278,4,0),0)</f>
        <v>0</v>
      </c>
      <c r="K32" s="7">
        <f>Table23453456879111215141617181920212223242526272834567891011345678910111241012[[#This Row],[Account Transfer]]-Table23453456879111215141617181920212223242526272834567891011345678910111241012[[#This Row],[Expense Online]]</f>
        <v>10720</v>
      </c>
      <c r="L32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-6586</v>
      </c>
      <c r="M32" s="7">
        <f>Table23453456879111215141617181920212223242526272834567891011345678910111241012[[#This Row],[Cash]]-Table23453456879111215141617181920212223242526272834567891011345678910111241012[[#This Row],[Expense]]</f>
        <v>-2620</v>
      </c>
      <c r="N32" s="45"/>
      <c r="O32" s="12" t="s">
        <v>3</v>
      </c>
      <c r="P32" s="12">
        <f>SUM(P25:P31)</f>
        <v>9225.1</v>
      </c>
      <c r="Q32" s="11">
        <f t="shared" ref="Q32:V32" si="28">SUM(Q25:Q31)</f>
        <v>27675.3</v>
      </c>
      <c r="R32" s="11">
        <f t="shared" si="28"/>
        <v>64575.7</v>
      </c>
      <c r="S32" s="11">
        <f t="shared" si="28"/>
        <v>92251</v>
      </c>
      <c r="T32" s="11">
        <f t="shared" si="28"/>
        <v>33890</v>
      </c>
      <c r="U32" s="11">
        <f t="shared" si="28"/>
        <v>58361</v>
      </c>
      <c r="V32" s="11">
        <f t="shared" si="28"/>
        <v>15825</v>
      </c>
    </row>
    <row r="33" spans="1:22" x14ac:dyDescent="0.35">
      <c r="A33" s="6">
        <v>45839</v>
      </c>
      <c r="B33" s="7">
        <f>Table23453456879111215141617181920212223242526272834567891011345678910111241012[[#This Row],[Profit]]-Table23453456879111215141617181920212223242526272834567891011345678910111241012[[#This Row],[Mulbhag]]</f>
        <v>0</v>
      </c>
      <c r="C33" s="43">
        <f>Table23453456879111215141617181920212223242526272834567891011345678910111241012[[#This Row],[Profit]]/3</f>
        <v>0</v>
      </c>
      <c r="D33" s="7">
        <f t="shared" si="0"/>
        <v>0</v>
      </c>
      <c r="E33" s="7">
        <f t="shared" si="1"/>
        <v>0</v>
      </c>
      <c r="F33" s="7">
        <f t="shared" si="2"/>
        <v>0</v>
      </c>
      <c r="G33" s="7"/>
      <c r="H33" s="7"/>
      <c r="I33" s="7">
        <f>IFERROR(VLOOKUP(Table23453456879111215141617181920212223242526272834567891011345678910111241012[[#This Row],[Date]],'June Expense'!H31:K279,3,0),0)</f>
        <v>0</v>
      </c>
      <c r="J33" s="7">
        <f>IFERROR(VLOOKUP(Table23453456879111215141617181920212223242526272834567891011345678910111241012[[#This Row],[Date]],'June Expense'!H31:K279,4,0),0)</f>
        <v>0</v>
      </c>
      <c r="K33" s="7">
        <f>Table23453456879111215141617181920212223242526272834567891011345678910111241012[[#This Row],[Account Transfer]]-Table23453456879111215141617181920212223242526272834567891011345678910111241012[[#This Row],[Expense Online]]</f>
        <v>0</v>
      </c>
      <c r="L33" s="7">
        <f>Table23453456879111215141617181920212223242526272834567891011345678910111241012[[#This Row],[Cash]]-Table23453456879111215141617181920212223242526272834567891011345678910111241012[[#This Row],[Mulbhag]]-Table23453456879111215141617181920212223242526272834567891011345678910111241012[[#This Row],[Actual Profit]]-Table23453456879111215141617181920212223242526272834567891011345678910111241012[[#This Row],[Expense]]</f>
        <v>0</v>
      </c>
      <c r="M33" s="7">
        <f>Table23453456879111215141617181920212223242526272834567891011345678910111241012[[#This Row],[Cash]]-Table23453456879111215141617181920212223242526272834567891011345678910111241012[[#This Row],[Expense]]</f>
        <v>0</v>
      </c>
      <c r="N33" s="47"/>
      <c r="O33" s="12" t="s">
        <v>7</v>
      </c>
      <c r="P33" s="9"/>
      <c r="Q33" s="9">
        <f>Q32/3</f>
        <v>9225.1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SUBTOTAL(109,Table23453456879111215141617181920212223242526272834567891011345678910111241012[Actual Profit])</f>
        <v>103447.6</v>
      </c>
      <c r="C34" s="16">
        <f>SUBTOTAL(109,Table23453456879111215141617181920212223242526272834567891011345678910111241012[Mulbhag])</f>
        <v>51723.8</v>
      </c>
      <c r="D34" s="16">
        <f>SUBTOTAL(109,Table23453456879111215141617181920212223242526272834567891011345678910111241012[Profit])</f>
        <v>155171.40000000002</v>
      </c>
      <c r="E34" s="16">
        <f>SUBTOTAL(109,Table23453456879111215141617181920212223242526272834567891011345678910111241012[Profit])</f>
        <v>155171.40000000002</v>
      </c>
      <c r="F34" s="16">
        <f>SUM(F3:F33)</f>
        <v>517238</v>
      </c>
      <c r="G34" s="16">
        <f>SUBTOTAL(109,Table23453456879111215141617181920212223242526272834567891011345678910111241012[Profit])</f>
        <v>155171.40000000002</v>
      </c>
      <c r="H34" s="16">
        <f>SUBTOTAL(109,Table23453456879111215141617181920212223242526272834567891011345678910111241012[Profit])</f>
        <v>155171.40000000002</v>
      </c>
      <c r="I34" s="16">
        <f>SUM(I5:I33)</f>
        <v>155165</v>
      </c>
      <c r="J34" s="16">
        <f>SUBTOTAL(109,Table23453456879111215141617181920212223242526272834567891011345678910111241012[Expense Online])</f>
        <v>107970</v>
      </c>
      <c r="K34" s="16">
        <f>SUBTOTAL(109,Table23453456879111215141617181920212223242526272834567891011345678910111241012[x])</f>
        <v>247398</v>
      </c>
      <c r="L34" s="16">
        <f>SUM(L5:L33)</f>
        <v>-146774.39999999999</v>
      </c>
      <c r="M34" s="16">
        <f>SUBTOTAL(109,Table23453456879111215141617181920212223242526272834567891011345678910111241012[Actual Balance])</f>
        <v>-3746</v>
      </c>
    </row>
    <row r="35" spans="1:22" x14ac:dyDescent="0.35">
      <c r="A35" s="17"/>
      <c r="B35" s="18"/>
      <c r="C35" s="18"/>
      <c r="D35" s="18">
        <f>D34/3</f>
        <v>51723.80000000001</v>
      </c>
      <c r="E35" s="18"/>
      <c r="F35" s="18"/>
      <c r="G35" s="18">
        <f>F34*0.42</f>
        <v>217239.96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10.000000000000002</v>
      </c>
      <c r="E36" s="18"/>
      <c r="F36" s="18"/>
      <c r="G36" s="18">
        <f>G35/3</f>
        <v>72413.319999999992</v>
      </c>
      <c r="H36" s="18"/>
      <c r="I36" s="18"/>
      <c r="J36" s="18"/>
      <c r="K36" s="18"/>
      <c r="L36" s="18"/>
      <c r="M36" s="18"/>
      <c r="O36" s="8">
        <f t="shared" ref="O36:O40" si="29">A24</f>
        <v>45830</v>
      </c>
      <c r="P36" s="11">
        <f>Q36/3</f>
        <v>664</v>
      </c>
      <c r="Q36" s="11">
        <f>S36*0.3</f>
        <v>1992</v>
      </c>
      <c r="R36" s="11">
        <f t="shared" ref="R36:R41" si="30">S36-Q36</f>
        <v>4648</v>
      </c>
      <c r="S36" s="11">
        <f>T36+U36</f>
        <v>6640</v>
      </c>
      <c r="T36" s="11">
        <f t="shared" ref="T36:T41" si="31">VLOOKUP(O36,$A$1:$J$34,7,0)</f>
        <v>3230</v>
      </c>
      <c r="U36" s="11">
        <f t="shared" ref="U36:U41" si="32">VLOOKUP(O36,$A$1:$J$34,8,0)</f>
        <v>3410</v>
      </c>
      <c r="V36" s="11">
        <f t="shared" ref="V36:V41" si="33">VLOOKUP(O36,$A$1:$J$34,9,0)</f>
        <v>340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45831</v>
      </c>
      <c r="P37" s="9">
        <f>Q37/3</f>
        <v>1651</v>
      </c>
      <c r="Q37" s="9">
        <f>S37*0.3</f>
        <v>4953</v>
      </c>
      <c r="R37" s="9">
        <f t="shared" si="30"/>
        <v>11557</v>
      </c>
      <c r="S37" s="9">
        <f t="shared" ref="S37:S41" si="34">T37+U37</f>
        <v>16510</v>
      </c>
      <c r="T37" s="9">
        <f t="shared" si="31"/>
        <v>6100</v>
      </c>
      <c r="U37" s="9">
        <f t="shared" si="32"/>
        <v>10410</v>
      </c>
      <c r="V37" s="9">
        <f t="shared" si="33"/>
        <v>570</v>
      </c>
    </row>
    <row r="38" spans="1:22" x14ac:dyDescent="0.35">
      <c r="A38" s="20" t="str">
        <f>CONCATENATE(TEXT(O3,"DD-MMM-YYY")," to ",TEXT(O9,"DD-MMM-YYYY"))</f>
        <v>01-Jun-2025 to 07-Jun-2025</v>
      </c>
      <c r="B38" s="11">
        <f>D38-C38</f>
        <v>34025.800000000003</v>
      </c>
      <c r="C38" s="11">
        <f>D38/3</f>
        <v>17012.900000000001</v>
      </c>
      <c r="D38" s="11">
        <f>Q10</f>
        <v>51038.700000000004</v>
      </c>
      <c r="E38" s="11">
        <f t="shared" ref="E38:I38" si="35">R10</f>
        <v>119090.29999999999</v>
      </c>
      <c r="F38" s="11">
        <f t="shared" si="35"/>
        <v>170129</v>
      </c>
      <c r="G38" s="11">
        <f t="shared" si="35"/>
        <v>46680</v>
      </c>
      <c r="H38" s="11">
        <f t="shared" si="35"/>
        <v>123449</v>
      </c>
      <c r="I38" s="11">
        <f t="shared" si="35"/>
        <v>36801</v>
      </c>
      <c r="J38" s="11"/>
      <c r="K38" s="11"/>
      <c r="L38" s="11"/>
      <c r="M38" s="11"/>
      <c r="O38" s="10">
        <f t="shared" si="29"/>
        <v>45832</v>
      </c>
      <c r="P38" s="11">
        <f t="shared" ref="P38:P41" si="36">Q38/3</f>
        <v>2851</v>
      </c>
      <c r="Q38" s="11">
        <f t="shared" ref="Q38:Q41" si="37">S38*0.3</f>
        <v>8553</v>
      </c>
      <c r="R38" s="11">
        <f t="shared" si="30"/>
        <v>19957</v>
      </c>
      <c r="S38" s="11">
        <f t="shared" si="34"/>
        <v>28510</v>
      </c>
      <c r="T38" s="11">
        <f t="shared" si="31"/>
        <v>22500</v>
      </c>
      <c r="U38" s="11">
        <f t="shared" si="32"/>
        <v>6010</v>
      </c>
      <c r="V38" s="11">
        <f t="shared" si="33"/>
        <v>54140</v>
      </c>
    </row>
    <row r="39" spans="1:22" x14ac:dyDescent="0.35">
      <c r="A39" s="20" t="str">
        <f>CONCATENATE(TEXT(O14,"DD-MMM-YYY")," to ",TEXT(O20,"DD-MMM-YYYY"))</f>
        <v>08-Jun-2025 to 14-Jun-2025</v>
      </c>
      <c r="B39" s="9">
        <f t="shared" ref="B39:B42" si="38">D39-C39</f>
        <v>22736.6</v>
      </c>
      <c r="C39" s="9">
        <f t="shared" ref="C39:C42" si="39">D39/3</f>
        <v>11368.300000000001</v>
      </c>
      <c r="D39" s="9">
        <f>Q21</f>
        <v>34104.9</v>
      </c>
      <c r="E39" s="9">
        <f t="shared" ref="E39:I39" si="40">R21</f>
        <v>79578.100000000006</v>
      </c>
      <c r="F39" s="9">
        <f t="shared" si="40"/>
        <v>113683</v>
      </c>
      <c r="G39" s="9">
        <f t="shared" si="40"/>
        <v>32150</v>
      </c>
      <c r="H39" s="9">
        <f t="shared" si="40"/>
        <v>81533</v>
      </c>
      <c r="I39" s="9">
        <f t="shared" si="40"/>
        <v>19850</v>
      </c>
      <c r="J39" s="9"/>
      <c r="K39" s="9"/>
      <c r="L39" s="9"/>
      <c r="M39" s="9"/>
      <c r="O39" s="8">
        <f t="shared" si="29"/>
        <v>45833</v>
      </c>
      <c r="P39" s="9">
        <f t="shared" si="36"/>
        <v>2610</v>
      </c>
      <c r="Q39" s="9">
        <f t="shared" si="37"/>
        <v>7830</v>
      </c>
      <c r="R39" s="9">
        <f t="shared" si="30"/>
        <v>18270</v>
      </c>
      <c r="S39" s="9">
        <f t="shared" si="34"/>
        <v>26100</v>
      </c>
      <c r="T39" s="9">
        <f t="shared" si="31"/>
        <v>780</v>
      </c>
      <c r="U39" s="9">
        <f t="shared" si="32"/>
        <v>25320</v>
      </c>
      <c r="V39" s="9">
        <f t="shared" si="33"/>
        <v>1110</v>
      </c>
    </row>
    <row r="40" spans="1:22" x14ac:dyDescent="0.35">
      <c r="A40" s="20" t="str">
        <f>CONCATENATE(TEXT(O25,"DD-MMM-YYY")," to ",TEXT(O31,"DD-MMM-YYYY"))</f>
        <v>15-Jun-2025 to 21-Jun-2025</v>
      </c>
      <c r="B40" s="11">
        <f t="shared" si="38"/>
        <v>18450.199999999997</v>
      </c>
      <c r="C40" s="11">
        <f t="shared" si="39"/>
        <v>9225.1</v>
      </c>
      <c r="D40" s="11">
        <f>Q32</f>
        <v>27675.3</v>
      </c>
      <c r="E40" s="11">
        <f t="shared" ref="E40:I40" si="41">R32</f>
        <v>64575.7</v>
      </c>
      <c r="F40" s="11">
        <f t="shared" si="41"/>
        <v>92251</v>
      </c>
      <c r="G40" s="11">
        <f t="shared" si="41"/>
        <v>33890</v>
      </c>
      <c r="H40" s="11">
        <f t="shared" si="41"/>
        <v>58361</v>
      </c>
      <c r="I40" s="11">
        <f t="shared" si="41"/>
        <v>15825</v>
      </c>
      <c r="J40" s="11"/>
      <c r="K40" s="11"/>
      <c r="L40" s="11"/>
      <c r="M40" s="11"/>
      <c r="O40" s="10">
        <f t="shared" si="29"/>
        <v>45834</v>
      </c>
      <c r="P40" s="11">
        <f t="shared" si="36"/>
        <v>2591</v>
      </c>
      <c r="Q40" s="11">
        <f t="shared" si="37"/>
        <v>7773</v>
      </c>
      <c r="R40" s="11">
        <f t="shared" si="30"/>
        <v>18137</v>
      </c>
      <c r="S40" s="11">
        <f t="shared" si="34"/>
        <v>25910</v>
      </c>
      <c r="T40" s="11">
        <f t="shared" si="31"/>
        <v>5410</v>
      </c>
      <c r="U40" s="11">
        <f t="shared" si="32"/>
        <v>20500</v>
      </c>
      <c r="V40" s="11">
        <f t="shared" si="33"/>
        <v>1250</v>
      </c>
    </row>
    <row r="41" spans="1:22" x14ac:dyDescent="0.35">
      <c r="A41" s="20" t="str">
        <f>CONCATENATE(TEXT(O36,"DD-MMM-YYY")," to ",TEXT(O41,"DD-MMM-YYYY"))</f>
        <v>22-Jun-2025 to 01-Jul-2025</v>
      </c>
      <c r="B41" s="9">
        <f t="shared" si="38"/>
        <v>20734</v>
      </c>
      <c r="C41" s="9">
        <f t="shared" si="39"/>
        <v>10367</v>
      </c>
      <c r="D41" s="9">
        <f>Q42</f>
        <v>31101</v>
      </c>
      <c r="E41" s="9">
        <f t="shared" ref="E41:I41" si="42">R42</f>
        <v>72569</v>
      </c>
      <c r="F41" s="9">
        <f t="shared" si="42"/>
        <v>103670</v>
      </c>
      <c r="G41" s="9">
        <f t="shared" si="42"/>
        <v>38020</v>
      </c>
      <c r="H41" s="9">
        <f t="shared" si="42"/>
        <v>65650</v>
      </c>
      <c r="I41" s="9">
        <f t="shared" si="42"/>
        <v>57410</v>
      </c>
      <c r="J41" s="9"/>
      <c r="K41" s="9"/>
      <c r="L41" s="9"/>
      <c r="M41" s="9"/>
      <c r="O41" s="8">
        <f>A33</f>
        <v>45839</v>
      </c>
      <c r="P41" s="9">
        <f t="shared" si="36"/>
        <v>0</v>
      </c>
      <c r="Q41" s="9">
        <f t="shared" si="37"/>
        <v>0</v>
      </c>
      <c r="R41" s="9">
        <f t="shared" si="30"/>
        <v>0</v>
      </c>
      <c r="S41" s="9">
        <f t="shared" si="34"/>
        <v>0</v>
      </c>
      <c r="T41" s="9">
        <f t="shared" si="31"/>
        <v>0</v>
      </c>
      <c r="U41" s="9">
        <f t="shared" si="32"/>
        <v>0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01-Jun-2025 to 01-Jul-2025</v>
      </c>
      <c r="B42" s="9">
        <f t="shared" si="38"/>
        <v>95946.6</v>
      </c>
      <c r="C42" s="9">
        <f t="shared" si="39"/>
        <v>47973.30000000001</v>
      </c>
      <c r="D42" s="9">
        <f t="shared" ref="D42:I42" si="43">SUM(D38:D41)</f>
        <v>143919.90000000002</v>
      </c>
      <c r="E42" s="9">
        <f t="shared" si="43"/>
        <v>335813.1</v>
      </c>
      <c r="F42" s="9">
        <f t="shared" si="43"/>
        <v>479733</v>
      </c>
      <c r="G42" s="9">
        <f t="shared" si="43"/>
        <v>150740</v>
      </c>
      <c r="H42" s="9">
        <f t="shared" si="43"/>
        <v>328993</v>
      </c>
      <c r="I42" s="9">
        <f t="shared" si="43"/>
        <v>129886</v>
      </c>
      <c r="J42" s="9"/>
      <c r="K42" s="9"/>
      <c r="L42" s="9"/>
      <c r="M42" s="9"/>
      <c r="O42" s="12" t="s">
        <v>3</v>
      </c>
      <c r="P42" s="12">
        <f t="shared" ref="P42:V42" si="44">SUM(P36:P41)</f>
        <v>10367</v>
      </c>
      <c r="Q42" s="11">
        <f t="shared" si="44"/>
        <v>31101</v>
      </c>
      <c r="R42" s="9">
        <f t="shared" si="44"/>
        <v>72569</v>
      </c>
      <c r="S42" s="9">
        <f t="shared" si="44"/>
        <v>103670</v>
      </c>
      <c r="T42" s="9">
        <f t="shared" si="44"/>
        <v>38020</v>
      </c>
      <c r="U42" s="9">
        <f t="shared" si="44"/>
        <v>65650</v>
      </c>
      <c r="V42" s="9">
        <f t="shared" si="44"/>
        <v>57410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10367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45813</v>
      </c>
      <c r="P47" s="9"/>
      <c r="Q47" s="9">
        <f t="shared" ref="Q47:V47" si="45">SUM(D8:D33)</f>
        <v>117224.1</v>
      </c>
      <c r="R47" s="9">
        <f t="shared" si="45"/>
        <v>273522.90000000002</v>
      </c>
      <c r="S47" s="9">
        <f t="shared" si="45"/>
        <v>390747</v>
      </c>
      <c r="T47" s="9">
        <f t="shared" si="45"/>
        <v>124830</v>
      </c>
      <c r="U47" s="9">
        <f t="shared" si="45"/>
        <v>265917</v>
      </c>
      <c r="V47" s="9">
        <f t="shared" si="45"/>
        <v>140465</v>
      </c>
    </row>
    <row r="48" spans="1:22" x14ac:dyDescent="0.35">
      <c r="O48" s="12" t="s">
        <v>7</v>
      </c>
      <c r="P48" s="11"/>
      <c r="Q48" s="11">
        <f>Q47/3</f>
        <v>39074.700000000004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BD61-C289-4266-8D8F-29FB1FE66A8B}">
  <dimension ref="A1:K224"/>
  <sheetViews>
    <sheetView zoomScale="104" workbookViewId="0">
      <selection activeCell="A2" sqref="A2"/>
    </sheetView>
  </sheetViews>
  <sheetFormatPr defaultRowHeight="14.5" x14ac:dyDescent="0.35"/>
  <cols>
    <col min="1" max="1" width="23.72656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2.54296875" style="26" bestFit="1" customWidth="1"/>
    <col min="9" max="9" width="11.08984375" bestFit="1" customWidth="1"/>
    <col min="10" max="10" width="11.1796875" bestFit="1" customWidth="1"/>
    <col min="11" max="11" width="21.179687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65" t="s">
        <v>193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45809</v>
      </c>
      <c r="B2" s="23"/>
      <c r="C2" s="23">
        <v>3000</v>
      </c>
      <c r="D2" s="23">
        <f>Table234534568791112151416171819202122232425262728345678910113456789101112351113[[#This Row],[Cash]]+Table234534568791112151416171819202122232425262728345678910113456789101112351113[[#This Row],[Account Transfer]]</f>
        <v>3000</v>
      </c>
      <c r="E2" s="22" t="s">
        <v>183</v>
      </c>
      <c r="F2" s="36" t="s">
        <v>51</v>
      </c>
      <c r="H2" s="26" t="s">
        <v>72</v>
      </c>
      <c r="I2">
        <v>0</v>
      </c>
    </row>
    <row r="3" spans="1:11" x14ac:dyDescent="0.35">
      <c r="A3" s="35">
        <v>45809</v>
      </c>
      <c r="B3" s="23">
        <v>500</v>
      </c>
      <c r="C3" s="23"/>
      <c r="D3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3" s="22" t="s">
        <v>257</v>
      </c>
      <c r="F3" s="36" t="s">
        <v>48</v>
      </c>
      <c r="H3" s="26">
        <v>45809</v>
      </c>
      <c r="I3">
        <v>4820</v>
      </c>
      <c r="J3">
        <v>1211</v>
      </c>
      <c r="K3">
        <v>8130</v>
      </c>
    </row>
    <row r="4" spans="1:11" x14ac:dyDescent="0.35">
      <c r="A4" s="35">
        <v>45809</v>
      </c>
      <c r="B4" s="23">
        <v>90</v>
      </c>
      <c r="C4" s="23"/>
      <c r="D4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4" s="22" t="s">
        <v>26</v>
      </c>
      <c r="F4" s="36" t="s">
        <v>48</v>
      </c>
      <c r="H4" s="26">
        <v>45810</v>
      </c>
      <c r="I4">
        <v>11240</v>
      </c>
      <c r="J4">
        <v>9240</v>
      </c>
      <c r="K4">
        <v>2000</v>
      </c>
    </row>
    <row r="5" spans="1:11" x14ac:dyDescent="0.35">
      <c r="A5" s="35">
        <v>45809</v>
      </c>
      <c r="B5" s="23"/>
      <c r="C5" s="23">
        <v>5000</v>
      </c>
      <c r="D5" s="23">
        <f>Table23453456879111215141617181920212223242526272834567891011345678910111235[[#This Row],[Cash]]+Table23453456879111215141617181920212223242526272834567891011345678910111235[[#This Row],[Account Transfer]]</f>
        <v>750</v>
      </c>
      <c r="E5" s="22" t="s">
        <v>80</v>
      </c>
      <c r="F5" s="36" t="s">
        <v>51</v>
      </c>
      <c r="H5" s="26">
        <v>45811</v>
      </c>
      <c r="I5">
        <v>13870</v>
      </c>
      <c r="J5">
        <v>12720</v>
      </c>
      <c r="K5">
        <v>1150</v>
      </c>
    </row>
    <row r="6" spans="1:11" x14ac:dyDescent="0.35">
      <c r="A6" s="35">
        <v>45809</v>
      </c>
      <c r="B6" s="23">
        <v>621</v>
      </c>
      <c r="C6" s="23"/>
      <c r="D6" s="23">
        <f>Table23453456879111215141617181920212223242526272834567891011345678910111235[[#This Row],[Cash]]+Table23453456879111215141617181920212223242526272834567891011345678910111235[[#This Row],[Account Transfer]]</f>
        <v>350</v>
      </c>
      <c r="E6" s="22" t="s">
        <v>9</v>
      </c>
      <c r="F6" s="36" t="s">
        <v>9</v>
      </c>
      <c r="H6" s="26">
        <v>45812</v>
      </c>
      <c r="I6">
        <v>340</v>
      </c>
      <c r="J6">
        <v>340</v>
      </c>
    </row>
    <row r="7" spans="1:11" x14ac:dyDescent="0.35">
      <c r="A7" s="35">
        <v>45809</v>
      </c>
      <c r="B7" s="23"/>
      <c r="C7" s="23">
        <v>130</v>
      </c>
      <c r="D7" s="23">
        <f>Table234534568791112151416171819202122232425262728345678910113456789101112351113[[#This Row],[Cash]]+Table234534568791112151416171819202122232425262728345678910113456789101112351113[[#This Row],[Account Transfer]]</f>
        <v>130</v>
      </c>
      <c r="E7" s="22" t="s">
        <v>129</v>
      </c>
      <c r="F7" s="36" t="s">
        <v>42</v>
      </c>
      <c r="H7" s="26">
        <v>45813</v>
      </c>
      <c r="I7">
        <v>1640</v>
      </c>
      <c r="J7">
        <v>1640</v>
      </c>
    </row>
    <row r="8" spans="1:11" x14ac:dyDescent="0.35">
      <c r="A8" s="35">
        <v>45810</v>
      </c>
      <c r="B8" s="23">
        <v>720</v>
      </c>
      <c r="C8" s="23"/>
      <c r="D8" s="23">
        <f>Table234534568791112151416171819202122232425262728345678910113456789101112351113[[#This Row],[Cash]]+Table234534568791112151416171819202122232425262728345678910113456789101112351113[[#This Row],[Account Transfer]]</f>
        <v>720</v>
      </c>
      <c r="E8" s="22" t="s">
        <v>258</v>
      </c>
      <c r="F8" s="36" t="s">
        <v>45</v>
      </c>
      <c r="H8" s="26">
        <v>45814</v>
      </c>
      <c r="I8">
        <v>10350</v>
      </c>
      <c r="J8">
        <v>10350</v>
      </c>
    </row>
    <row r="9" spans="1:11" x14ac:dyDescent="0.35">
      <c r="A9" s="35">
        <v>45810</v>
      </c>
      <c r="B9" s="23">
        <v>70</v>
      </c>
      <c r="C9" s="23"/>
      <c r="D9" s="23">
        <f>Table234534568791112151416171819202122232425262728345678910113456789101112351113[[#This Row],[Cash]]+Table234534568791112151416171819202122232425262728345678910113456789101112351113[[#This Row],[Account Transfer]]</f>
        <v>70</v>
      </c>
      <c r="E9" s="22" t="s">
        <v>78</v>
      </c>
      <c r="F9" s="36" t="s">
        <v>48</v>
      </c>
      <c r="H9" s="26">
        <v>45815</v>
      </c>
      <c r="I9">
        <v>1300</v>
      </c>
      <c r="J9">
        <v>1300</v>
      </c>
    </row>
    <row r="10" spans="1:11" x14ac:dyDescent="0.35">
      <c r="A10" s="35">
        <v>45810</v>
      </c>
      <c r="B10" s="23">
        <v>450</v>
      </c>
      <c r="C10" s="23"/>
      <c r="D10" s="23">
        <f>Table234534568791112151416171819202122232425262728345678910113456789101112351113[[#This Row],[Cash]]+Table234534568791112151416171819202122232425262728345678910113456789101112351113[[#This Row],[Account Transfer]]</f>
        <v>450</v>
      </c>
      <c r="E10" s="22" t="s">
        <v>108</v>
      </c>
      <c r="F10" s="36" t="s">
        <v>48</v>
      </c>
      <c r="H10" s="26">
        <v>45816</v>
      </c>
      <c r="I10">
        <v>1060</v>
      </c>
      <c r="J10">
        <v>1060</v>
      </c>
    </row>
    <row r="11" spans="1:11" x14ac:dyDescent="0.35">
      <c r="A11" s="35">
        <v>45810</v>
      </c>
      <c r="B11" s="23">
        <v>5000</v>
      </c>
      <c r="C11" s="23"/>
      <c r="D11" s="23">
        <f>Table234534568791112151416171819202122232425262728345678910113456789101112351113[[#This Row],[Cash]]+Table234534568791112151416171819202122232425262728345678910113456789101112351113[[#This Row],[Account Transfer]]</f>
        <v>5000</v>
      </c>
      <c r="E11" s="22" t="s">
        <v>215</v>
      </c>
      <c r="F11" s="36" t="s">
        <v>51</v>
      </c>
      <c r="H11" s="26">
        <v>45817</v>
      </c>
      <c r="I11">
        <v>1360</v>
      </c>
      <c r="J11">
        <v>1360</v>
      </c>
    </row>
    <row r="12" spans="1:11" x14ac:dyDescent="0.35">
      <c r="A12" s="35">
        <v>45810</v>
      </c>
      <c r="B12" s="23">
        <v>3000</v>
      </c>
      <c r="C12" s="23"/>
      <c r="D12" s="23">
        <f>Table234534568791112151416171819202122232425262728345678910113456789101112351113[[#This Row],[Cash]]+Table234534568791112151416171819202122232425262728345678910113456789101112351113[[#This Row],[Account Transfer]]</f>
        <v>3000</v>
      </c>
      <c r="E12" s="22" t="s">
        <v>28</v>
      </c>
      <c r="F12" s="36" t="s">
        <v>51</v>
      </c>
      <c r="H12" s="26">
        <v>45818</v>
      </c>
      <c r="I12">
        <v>3440</v>
      </c>
      <c r="J12">
        <v>2440</v>
      </c>
      <c r="K12">
        <v>1000</v>
      </c>
    </row>
    <row r="13" spans="1:11" x14ac:dyDescent="0.35">
      <c r="A13" s="35">
        <v>45810</v>
      </c>
      <c r="B13" s="23"/>
      <c r="C13" s="23">
        <v>2000</v>
      </c>
      <c r="D13" s="23">
        <f>Table234534568791112151416171819202122232425262728345678910113456789101112351113[[#This Row],[Cash]]+Table234534568791112151416171819202122232425262728345678910113456789101112351113[[#This Row],[Account Transfer]]</f>
        <v>2000</v>
      </c>
      <c r="E13" s="22" t="s">
        <v>28</v>
      </c>
      <c r="F13" s="36" t="s">
        <v>51</v>
      </c>
      <c r="H13" s="26">
        <v>45819</v>
      </c>
      <c r="I13">
        <v>1270</v>
      </c>
      <c r="J13">
        <v>1270</v>
      </c>
    </row>
    <row r="14" spans="1:11" x14ac:dyDescent="0.35">
      <c r="A14" s="35">
        <v>45811</v>
      </c>
      <c r="B14" s="23">
        <v>50</v>
      </c>
      <c r="C14" s="23"/>
      <c r="D14" s="23">
        <f>Table234534568791112151416171819202122232425262728345678910113456789101112351113[[#This Row],[Cash]]+Table234534568791112151416171819202122232425262728345678910113456789101112351113[[#This Row],[Account Transfer]]</f>
        <v>50</v>
      </c>
      <c r="E14" s="22" t="s">
        <v>259</v>
      </c>
      <c r="F14" s="36" t="s">
        <v>48</v>
      </c>
      <c r="H14" s="26">
        <v>45820</v>
      </c>
      <c r="I14">
        <v>1130</v>
      </c>
      <c r="J14">
        <v>1130</v>
      </c>
    </row>
    <row r="15" spans="1:11" x14ac:dyDescent="0.35">
      <c r="A15" s="35">
        <v>45811</v>
      </c>
      <c r="B15" s="23">
        <v>3000</v>
      </c>
      <c r="C15" s="23"/>
      <c r="D15" s="23">
        <f>Table234534568791112151416171819202122232425262728345678910113456789101112351113[[#This Row],[Cash]]+Table234534568791112151416171819202122232425262728345678910113456789101112351113[[#This Row],[Account Transfer]]</f>
        <v>3000</v>
      </c>
      <c r="E15" s="22" t="s">
        <v>183</v>
      </c>
      <c r="F15" s="36" t="s">
        <v>51</v>
      </c>
      <c r="H15" s="26">
        <v>45821</v>
      </c>
      <c r="I15">
        <v>8110</v>
      </c>
      <c r="J15">
        <v>8110</v>
      </c>
    </row>
    <row r="16" spans="1:11" x14ac:dyDescent="0.35">
      <c r="A16" s="35">
        <v>45811</v>
      </c>
      <c r="B16" s="23">
        <v>2000</v>
      </c>
      <c r="C16" s="23"/>
      <c r="D16" s="23">
        <f>Table234534568791112151416171819202122232425262728345678910113456789101112351113[[#This Row],[Cash]]+Table234534568791112151416171819202122232425262728345678910113456789101112351113[[#This Row],[Account Transfer]]</f>
        <v>2000</v>
      </c>
      <c r="E16" s="22" t="s">
        <v>80</v>
      </c>
      <c r="F16" s="36" t="s">
        <v>51</v>
      </c>
      <c r="H16" s="26">
        <v>45822</v>
      </c>
      <c r="I16">
        <v>4480</v>
      </c>
      <c r="J16">
        <v>4480</v>
      </c>
    </row>
    <row r="17" spans="1:11" x14ac:dyDescent="0.35">
      <c r="A17" s="35">
        <v>45811</v>
      </c>
      <c r="B17" s="23">
        <v>270</v>
      </c>
      <c r="C17" s="23"/>
      <c r="D17" s="23">
        <f>Table234534568791112151416171819202122232425262728345678910113456789101112351113[[#This Row],[Cash]]+Table234534568791112151416171819202122232425262728345678910113456789101112351113[[#This Row],[Account Transfer]]</f>
        <v>270</v>
      </c>
      <c r="E17" s="22" t="s">
        <v>26</v>
      </c>
      <c r="F17" s="36" t="s">
        <v>48</v>
      </c>
      <c r="H17" s="26">
        <v>45823</v>
      </c>
      <c r="I17">
        <v>395</v>
      </c>
      <c r="J17">
        <v>395</v>
      </c>
    </row>
    <row r="18" spans="1:11" x14ac:dyDescent="0.35">
      <c r="A18" s="35">
        <v>45811</v>
      </c>
      <c r="B18" s="23"/>
      <c r="C18" s="23">
        <v>1150</v>
      </c>
      <c r="D18" s="23">
        <f>Table234534568791112151416171819202122232425262728345678910113456789101112351113[[#This Row],[Cash]]+Table234534568791112151416171819202122232425262728345678910113456789101112351113[[#This Row],[Account Transfer]]</f>
        <v>1150</v>
      </c>
      <c r="E18" s="22" t="s">
        <v>260</v>
      </c>
      <c r="F18" s="36" t="s">
        <v>48</v>
      </c>
      <c r="H18" s="26">
        <v>45824</v>
      </c>
      <c r="I18">
        <v>200</v>
      </c>
      <c r="J18">
        <v>200</v>
      </c>
    </row>
    <row r="19" spans="1:11" x14ac:dyDescent="0.35">
      <c r="A19" s="35">
        <v>45811</v>
      </c>
      <c r="B19" s="23">
        <v>7400</v>
      </c>
      <c r="C19" s="23"/>
      <c r="D19" s="23">
        <f>Table234534568791112151416171819202122232425262728345678910113456789101112351113[[#This Row],[Cash]]+Table234534568791112151416171819202122232425262728345678910113456789101112351113[[#This Row],[Account Transfer]]</f>
        <v>7400</v>
      </c>
      <c r="E19" s="22" t="s">
        <v>9</v>
      </c>
      <c r="F19" s="36" t="s">
        <v>9</v>
      </c>
      <c r="H19" s="26">
        <v>45825</v>
      </c>
      <c r="I19">
        <v>11440</v>
      </c>
      <c r="J19">
        <v>11440</v>
      </c>
    </row>
    <row r="20" spans="1:11" x14ac:dyDescent="0.35">
      <c r="A20" s="35">
        <v>45812</v>
      </c>
      <c r="B20" s="23">
        <v>120</v>
      </c>
      <c r="C20" s="23"/>
      <c r="D20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20" s="22" t="s">
        <v>26</v>
      </c>
      <c r="F20" s="36" t="s">
        <v>48</v>
      </c>
      <c r="H20" s="26">
        <v>45826</v>
      </c>
      <c r="I20">
        <v>2380</v>
      </c>
      <c r="J20">
        <v>2380</v>
      </c>
    </row>
    <row r="21" spans="1:11" x14ac:dyDescent="0.35">
      <c r="A21" s="35">
        <v>45812</v>
      </c>
      <c r="B21" s="23">
        <v>100</v>
      </c>
      <c r="C21" s="23"/>
      <c r="D21" s="23">
        <f>Table234534568791112151416171819202122232425262728345678910113456789101112351113[[#This Row],[Cash]]+Table234534568791112151416171819202122232425262728345678910113456789101112351113[[#This Row],[Account Transfer]]</f>
        <v>100</v>
      </c>
      <c r="E21" s="22" t="s">
        <v>129</v>
      </c>
      <c r="F21" s="36" t="s">
        <v>42</v>
      </c>
      <c r="H21" s="26">
        <v>45827</v>
      </c>
      <c r="I21">
        <v>5590</v>
      </c>
      <c r="J21">
        <v>590</v>
      </c>
      <c r="K21">
        <v>5000</v>
      </c>
    </row>
    <row r="22" spans="1:11" x14ac:dyDescent="0.35">
      <c r="A22" s="35">
        <v>45812</v>
      </c>
      <c r="B22" s="23">
        <v>70</v>
      </c>
      <c r="C22" s="23"/>
      <c r="D22" s="23">
        <f>Table234534568791112151416171819202122232425262728345678910113456789101112351113[[#This Row],[Cash]]+Table234534568791112151416171819202122232425262728345678910113456789101112351113[[#This Row],[Account Transfer]]</f>
        <v>70</v>
      </c>
      <c r="E22" s="22" t="s">
        <v>261</v>
      </c>
      <c r="F22" s="36" t="s">
        <v>48</v>
      </c>
      <c r="H22" s="26">
        <v>45828</v>
      </c>
      <c r="I22">
        <v>60740</v>
      </c>
      <c r="J22">
        <v>740</v>
      </c>
      <c r="K22">
        <v>60000</v>
      </c>
    </row>
    <row r="23" spans="1:11" x14ac:dyDescent="0.35">
      <c r="A23" s="35">
        <v>45812</v>
      </c>
      <c r="B23" s="23">
        <v>50</v>
      </c>
      <c r="C23" s="23"/>
      <c r="D23" s="23">
        <f>Table234534568791112151416171819202122232425262728345678910113456789101112351113[[#This Row],[Cash]]+Table234534568791112151416171819202122232425262728345678910113456789101112351113[[#This Row],[Account Transfer]]</f>
        <v>50</v>
      </c>
      <c r="E23" s="22" t="s">
        <v>259</v>
      </c>
      <c r="F23" s="36" t="s">
        <v>48</v>
      </c>
      <c r="H23" s="26">
        <v>45829</v>
      </c>
      <c r="I23">
        <v>80</v>
      </c>
      <c r="J23">
        <v>80</v>
      </c>
    </row>
    <row r="24" spans="1:11" x14ac:dyDescent="0.35">
      <c r="A24" s="35">
        <v>45814</v>
      </c>
      <c r="B24" s="23">
        <v>200</v>
      </c>
      <c r="C24" s="23"/>
      <c r="D24" s="23">
        <f>Table234534568791112151416171819202122232425262728345678910113456789101112351113[[#This Row],[Cash]]+Table234534568791112151416171819202122232425262728345678910113456789101112351113[[#This Row],[Account Transfer]]</f>
        <v>200</v>
      </c>
      <c r="E24" s="22" t="s">
        <v>257</v>
      </c>
      <c r="F24" s="36" t="s">
        <v>48</v>
      </c>
      <c r="H24" s="26">
        <v>45830</v>
      </c>
      <c r="I24">
        <v>340</v>
      </c>
      <c r="J24">
        <v>340</v>
      </c>
    </row>
    <row r="25" spans="1:11" x14ac:dyDescent="0.35">
      <c r="A25" s="35">
        <v>45814</v>
      </c>
      <c r="B25" s="23">
        <v>1000</v>
      </c>
      <c r="C25" s="23"/>
      <c r="D25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25" s="22" t="s">
        <v>69</v>
      </c>
      <c r="F25" s="36" t="s">
        <v>69</v>
      </c>
      <c r="H25" s="26">
        <v>45831</v>
      </c>
      <c r="I25">
        <v>12660</v>
      </c>
      <c r="J25">
        <v>570</v>
      </c>
      <c r="K25">
        <v>12090</v>
      </c>
    </row>
    <row r="26" spans="1:11" x14ac:dyDescent="0.35">
      <c r="A26" s="35">
        <v>45814</v>
      </c>
      <c r="B26" s="23">
        <v>150</v>
      </c>
      <c r="C26" s="23"/>
      <c r="D26" s="23">
        <f>Table234534568791112151416171819202122232425262728345678910113456789101112351113[[#This Row],[Cash]]+Table234534568791112151416171819202122232425262728345678910113456789101112351113[[#This Row],[Account Transfer]]</f>
        <v>150</v>
      </c>
      <c r="E26" s="22" t="s">
        <v>26</v>
      </c>
      <c r="F26" s="36" t="s">
        <v>48</v>
      </c>
      <c r="H26" s="26">
        <v>45832</v>
      </c>
      <c r="I26">
        <v>72740</v>
      </c>
      <c r="J26">
        <v>54140</v>
      </c>
      <c r="K26">
        <v>18600</v>
      </c>
    </row>
    <row r="27" spans="1:11" x14ac:dyDescent="0.35">
      <c r="A27" s="35">
        <v>45814</v>
      </c>
      <c r="B27" s="23">
        <v>2000</v>
      </c>
      <c r="C27" s="23"/>
      <c r="D27" s="23">
        <f>Table234534568791112151416171819202122232425262728345678910113456789101112351113[[#This Row],[Cash]]+Table234534568791112151416171819202122232425262728345678910113456789101112351113[[#This Row],[Account Transfer]]</f>
        <v>2000</v>
      </c>
      <c r="E27" s="22" t="s">
        <v>183</v>
      </c>
      <c r="F27" s="36" t="s">
        <v>51</v>
      </c>
      <c r="H27" s="26">
        <v>45833</v>
      </c>
      <c r="I27">
        <v>1110</v>
      </c>
      <c r="J27">
        <v>1110</v>
      </c>
    </row>
    <row r="28" spans="1:11" x14ac:dyDescent="0.35">
      <c r="A28" s="35">
        <v>45814</v>
      </c>
      <c r="B28" s="23">
        <v>2000</v>
      </c>
      <c r="C28" s="23"/>
      <c r="D28" s="23">
        <f>Table234534568791112151416171819202122232425262728345678910113456789101112351113[[#This Row],[Cash]]+Table234534568791112151416171819202122232425262728345678910113456789101112351113[[#This Row],[Account Transfer]]</f>
        <v>2000</v>
      </c>
      <c r="E28" s="22" t="s">
        <v>80</v>
      </c>
      <c r="F28" s="36" t="s">
        <v>51</v>
      </c>
      <c r="H28" s="26">
        <v>45834</v>
      </c>
      <c r="I28">
        <v>1250</v>
      </c>
      <c r="J28">
        <v>1250</v>
      </c>
    </row>
    <row r="29" spans="1:11" x14ac:dyDescent="0.35">
      <c r="A29" s="35">
        <v>45814</v>
      </c>
      <c r="B29" s="23">
        <v>2000</v>
      </c>
      <c r="C29" s="23"/>
      <c r="D29" s="23">
        <f>Table234534568791112151416171819202122232425262728345678910113456789101112351113[[#This Row],[Cash]]+Table234534568791112151416171819202122232425262728345678910113456789101112351113[[#This Row],[Account Transfer]]</f>
        <v>2000</v>
      </c>
      <c r="E29" s="22" t="s">
        <v>28</v>
      </c>
      <c r="F29" s="36" t="s">
        <v>51</v>
      </c>
      <c r="H29" s="26">
        <v>45835</v>
      </c>
      <c r="I29">
        <v>22120</v>
      </c>
      <c r="J29">
        <v>22120</v>
      </c>
    </row>
    <row r="30" spans="1:11" x14ac:dyDescent="0.35">
      <c r="A30" s="35">
        <v>45814</v>
      </c>
      <c r="B30" s="23">
        <v>3000</v>
      </c>
      <c r="C30" s="23"/>
      <c r="D30" s="23">
        <f>Table234534568791112151416171819202122232425262728345678910113456789101112351113[[#This Row],[Cash]]+Table234534568791112151416171819202122232425262728345678910113456789101112351113[[#This Row],[Account Transfer]]</f>
        <v>3000</v>
      </c>
      <c r="E30" s="22" t="s">
        <v>215</v>
      </c>
      <c r="F30" s="36" t="s">
        <v>51</v>
      </c>
      <c r="H30" s="26">
        <v>45836</v>
      </c>
      <c r="I30">
        <v>7120</v>
      </c>
      <c r="J30">
        <v>7120</v>
      </c>
    </row>
    <row r="31" spans="1:11" x14ac:dyDescent="0.35">
      <c r="A31" s="35">
        <v>45813</v>
      </c>
      <c r="B31" s="23">
        <v>500</v>
      </c>
      <c r="C31" s="23"/>
      <c r="D31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31" s="22" t="s">
        <v>244</v>
      </c>
      <c r="F31" s="36" t="s">
        <v>48</v>
      </c>
      <c r="H31" s="26">
        <v>45837</v>
      </c>
      <c r="I31">
        <v>1370</v>
      </c>
      <c r="J31">
        <v>1370</v>
      </c>
    </row>
    <row r="32" spans="1:11" x14ac:dyDescent="0.35">
      <c r="A32" s="35">
        <v>45813</v>
      </c>
      <c r="B32" s="23">
        <v>1000</v>
      </c>
      <c r="C32" s="23"/>
      <c r="D32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32" s="22" t="s">
        <v>69</v>
      </c>
      <c r="F32" s="36" t="s">
        <v>69</v>
      </c>
      <c r="H32" s="26">
        <v>45838</v>
      </c>
      <c r="I32">
        <v>5120</v>
      </c>
      <c r="J32">
        <v>5120</v>
      </c>
    </row>
    <row r="33" spans="1:11" x14ac:dyDescent="0.35">
      <c r="A33" s="35">
        <v>45813</v>
      </c>
      <c r="B33" s="23">
        <v>20</v>
      </c>
      <c r="C33" s="23"/>
      <c r="D33" s="23">
        <f>Table234534568791112151416171819202122232425262728345678910113456789101112351113[[#This Row],[Cash]]+Table234534568791112151416171819202122232425262728345678910113456789101112351113[[#This Row],[Account Transfer]]</f>
        <v>20</v>
      </c>
      <c r="E33" s="22" t="s">
        <v>262</v>
      </c>
      <c r="F33" s="36" t="s">
        <v>48</v>
      </c>
      <c r="H33" s="26" t="s">
        <v>35</v>
      </c>
      <c r="I33">
        <v>269065</v>
      </c>
      <c r="J33">
        <v>165616</v>
      </c>
      <c r="K33">
        <v>107970</v>
      </c>
    </row>
    <row r="34" spans="1:11" x14ac:dyDescent="0.35">
      <c r="A34" s="35">
        <v>45813</v>
      </c>
      <c r="B34" s="23">
        <v>120</v>
      </c>
      <c r="C34" s="23"/>
      <c r="D34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34" s="22" t="s">
        <v>26</v>
      </c>
      <c r="F34" s="36" t="s">
        <v>48</v>
      </c>
    </row>
    <row r="35" spans="1:11" x14ac:dyDescent="0.35">
      <c r="A35" s="35">
        <v>45815</v>
      </c>
      <c r="B35" s="23">
        <v>1000</v>
      </c>
      <c r="C35" s="23"/>
      <c r="D35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35" s="22" t="s">
        <v>69</v>
      </c>
      <c r="F35" s="36" t="s">
        <v>69</v>
      </c>
    </row>
    <row r="36" spans="1:11" x14ac:dyDescent="0.35">
      <c r="A36" s="35">
        <v>45815</v>
      </c>
      <c r="B36" s="23">
        <v>300</v>
      </c>
      <c r="C36" s="23"/>
      <c r="D36" s="23">
        <f>Table234534568791112151416171819202122232425262728345678910113456789101112351113[[#This Row],[Cash]]+Table234534568791112151416171819202122232425262728345678910113456789101112351113[[#This Row],[Account Transfer]]</f>
        <v>300</v>
      </c>
      <c r="E36" s="22" t="s">
        <v>26</v>
      </c>
      <c r="F36" s="36" t="s">
        <v>48</v>
      </c>
    </row>
    <row r="37" spans="1:11" x14ac:dyDescent="0.35">
      <c r="A37" s="35">
        <v>45816</v>
      </c>
      <c r="B37" s="23">
        <v>1000</v>
      </c>
      <c r="C37" s="23"/>
      <c r="D37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37" s="22" t="s">
        <v>69</v>
      </c>
      <c r="F37" s="36" t="s">
        <v>69</v>
      </c>
    </row>
    <row r="38" spans="1:11" x14ac:dyDescent="0.35">
      <c r="A38" s="35">
        <v>45816</v>
      </c>
      <c r="B38" s="23">
        <v>60</v>
      </c>
      <c r="C38" s="23"/>
      <c r="D38" s="23">
        <f>Table234534568791112151416171819202122232425262728345678910113456789101112351113[[#This Row],[Cash]]+Table234534568791112151416171819202122232425262728345678910113456789101112351113[[#This Row],[Account Transfer]]</f>
        <v>60</v>
      </c>
      <c r="E38" s="22" t="s">
        <v>26</v>
      </c>
      <c r="F38" s="36" t="s">
        <v>48</v>
      </c>
    </row>
    <row r="39" spans="1:11" x14ac:dyDescent="0.35">
      <c r="A39" s="35">
        <v>45817</v>
      </c>
      <c r="B39" s="23">
        <v>250</v>
      </c>
      <c r="C39" s="23"/>
      <c r="D39" s="23">
        <f>Table234534568791112151416171819202122232425262728345678910113456789101112351113[[#This Row],[Cash]]+Table234534568791112151416171819202122232425262728345678910113456789101112351113[[#This Row],[Account Transfer]]</f>
        <v>250</v>
      </c>
      <c r="E39" s="22" t="s">
        <v>263</v>
      </c>
      <c r="F39" s="36" t="s">
        <v>48</v>
      </c>
    </row>
    <row r="40" spans="1:11" x14ac:dyDescent="0.35">
      <c r="A40" s="35">
        <v>45817</v>
      </c>
      <c r="B40" s="23">
        <v>1000</v>
      </c>
      <c r="C40" s="23"/>
      <c r="D40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40" s="22" t="s">
        <v>69</v>
      </c>
      <c r="F40" s="36" t="s">
        <v>69</v>
      </c>
    </row>
    <row r="41" spans="1:11" x14ac:dyDescent="0.35">
      <c r="A41" s="35">
        <v>45817</v>
      </c>
      <c r="B41" s="23">
        <v>110</v>
      </c>
      <c r="C41" s="23"/>
      <c r="D41" s="23">
        <f>Table234534568791112151416171819202122232425262728345678910113456789101112351113[[#This Row],[Cash]]+Table234534568791112151416171819202122232425262728345678910113456789101112351113[[#This Row],[Account Transfer]]</f>
        <v>110</v>
      </c>
      <c r="E41" s="22" t="s">
        <v>264</v>
      </c>
      <c r="F41" s="36" t="s">
        <v>48</v>
      </c>
    </row>
    <row r="42" spans="1:11" x14ac:dyDescent="0.35">
      <c r="A42" s="35">
        <v>45818</v>
      </c>
      <c r="B42" s="23"/>
      <c r="C42" s="23">
        <v>1000</v>
      </c>
      <c r="D42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42" s="22" t="s">
        <v>69</v>
      </c>
      <c r="F42" s="36" t="s">
        <v>69</v>
      </c>
    </row>
    <row r="43" spans="1:11" x14ac:dyDescent="0.35">
      <c r="A43" s="35">
        <v>45818</v>
      </c>
      <c r="B43" s="23">
        <v>2000</v>
      </c>
      <c r="C43" s="23"/>
      <c r="D43" s="23">
        <f>Table234534568791112151416171819202122232425262728345678910113456789101112351113[[#This Row],[Cash]]+Table234534568791112151416171819202122232425262728345678910113456789101112351113[[#This Row],[Account Transfer]]</f>
        <v>2000</v>
      </c>
      <c r="E43" s="22" t="s">
        <v>129</v>
      </c>
      <c r="F43" s="36" t="s">
        <v>42</v>
      </c>
    </row>
    <row r="44" spans="1:11" x14ac:dyDescent="0.35">
      <c r="A44" s="35">
        <v>45818</v>
      </c>
      <c r="B44" s="23">
        <v>200</v>
      </c>
      <c r="C44" s="23"/>
      <c r="D44" s="23">
        <f>Table234534568791112151416171819202122232425262728345678910113456789101112351113[[#This Row],[Cash]]+Table234534568791112151416171819202122232425262728345678910113456789101112351113[[#This Row],[Account Transfer]]</f>
        <v>200</v>
      </c>
      <c r="E44" s="22" t="s">
        <v>265</v>
      </c>
      <c r="F44" s="36" t="s">
        <v>48</v>
      </c>
    </row>
    <row r="45" spans="1:11" x14ac:dyDescent="0.35">
      <c r="A45" s="35">
        <v>45818</v>
      </c>
      <c r="B45" s="23">
        <v>120</v>
      </c>
      <c r="C45" s="23"/>
      <c r="D45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45" s="22" t="s">
        <v>266</v>
      </c>
      <c r="F45" s="36" t="s">
        <v>48</v>
      </c>
    </row>
    <row r="46" spans="1:11" x14ac:dyDescent="0.35">
      <c r="A46" s="35">
        <v>45818</v>
      </c>
      <c r="B46" s="23">
        <v>120</v>
      </c>
      <c r="C46" s="23"/>
      <c r="D46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46" s="22" t="s">
        <v>26</v>
      </c>
      <c r="F46" s="36" t="s">
        <v>48</v>
      </c>
    </row>
    <row r="47" spans="1:11" x14ac:dyDescent="0.35">
      <c r="A47" s="35">
        <v>45819</v>
      </c>
      <c r="B47" s="23">
        <v>1000</v>
      </c>
      <c r="C47" s="23"/>
      <c r="D47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47" s="22" t="s">
        <v>69</v>
      </c>
      <c r="F47" s="36" t="s">
        <v>69</v>
      </c>
    </row>
    <row r="48" spans="1:11" x14ac:dyDescent="0.35">
      <c r="A48" s="35">
        <v>45819</v>
      </c>
      <c r="B48" s="23">
        <v>50</v>
      </c>
      <c r="C48" s="23"/>
      <c r="D48" s="23">
        <f>Table234534568791112151416171819202122232425262728345678910113456789101112351113[[#This Row],[Cash]]+Table234534568791112151416171819202122232425262728345678910113456789101112351113[[#This Row],[Account Transfer]]</f>
        <v>50</v>
      </c>
      <c r="E48" s="22" t="s">
        <v>262</v>
      </c>
      <c r="F48" s="36" t="s">
        <v>48</v>
      </c>
    </row>
    <row r="49" spans="1:6" x14ac:dyDescent="0.35">
      <c r="A49" s="35">
        <v>45819</v>
      </c>
      <c r="B49" s="23">
        <v>120</v>
      </c>
      <c r="C49" s="23"/>
      <c r="D49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49" s="22" t="s">
        <v>26</v>
      </c>
      <c r="F49" s="36" t="s">
        <v>48</v>
      </c>
    </row>
    <row r="50" spans="1:6" x14ac:dyDescent="0.35">
      <c r="A50" s="35">
        <v>45819</v>
      </c>
      <c r="B50" s="23">
        <v>100</v>
      </c>
      <c r="C50" s="23"/>
      <c r="D50" s="23">
        <f>Table234534568791112151416171819202122232425262728345678910113456789101112351113[[#This Row],[Cash]]+Table234534568791112151416171819202122232425262728345678910113456789101112351113[[#This Row],[Account Transfer]]</f>
        <v>100</v>
      </c>
      <c r="E50" s="22" t="s">
        <v>283</v>
      </c>
      <c r="F50" s="36" t="s">
        <v>48</v>
      </c>
    </row>
    <row r="51" spans="1:6" x14ac:dyDescent="0.35">
      <c r="A51" s="35">
        <v>45820</v>
      </c>
      <c r="B51" s="23">
        <v>40</v>
      </c>
      <c r="C51" s="23"/>
      <c r="D51" s="23">
        <f>Table234534568791112151416171819202122232425262728345678910113456789101112351113[[#This Row],[Cash]]+Table234534568791112151416171819202122232425262728345678910113456789101112351113[[#This Row],[Account Transfer]]</f>
        <v>40</v>
      </c>
      <c r="E51" s="22" t="s">
        <v>259</v>
      </c>
      <c r="F51" s="36" t="s">
        <v>48</v>
      </c>
    </row>
    <row r="52" spans="1:6" x14ac:dyDescent="0.35">
      <c r="A52" s="35">
        <v>45820</v>
      </c>
      <c r="B52" s="23">
        <v>1000</v>
      </c>
      <c r="C52" s="23"/>
      <c r="D52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52" s="22" t="s">
        <v>69</v>
      </c>
      <c r="F52" s="36" t="s">
        <v>69</v>
      </c>
    </row>
    <row r="53" spans="1:6" x14ac:dyDescent="0.35">
      <c r="A53" s="35">
        <v>45820</v>
      </c>
      <c r="B53" s="23">
        <v>90</v>
      </c>
      <c r="C53" s="23"/>
      <c r="D53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53" s="22" t="s">
        <v>26</v>
      </c>
      <c r="F53" s="36" t="s">
        <v>48</v>
      </c>
    </row>
    <row r="54" spans="1:6" x14ac:dyDescent="0.35">
      <c r="A54" s="35">
        <v>45821</v>
      </c>
      <c r="B54" s="23">
        <v>20</v>
      </c>
      <c r="C54" s="23"/>
      <c r="D54" s="23">
        <f>Table234534568791112151416171819202122232425262728345678910113456789101112351113[[#This Row],[Cash]]+Table234534568791112151416171819202122232425262728345678910113456789101112351113[[#This Row],[Account Transfer]]</f>
        <v>20</v>
      </c>
      <c r="E54" s="22" t="s">
        <v>259</v>
      </c>
      <c r="F54" s="36" t="s">
        <v>48</v>
      </c>
    </row>
    <row r="55" spans="1:6" x14ac:dyDescent="0.35">
      <c r="A55" s="35">
        <v>45821</v>
      </c>
      <c r="B55" s="23">
        <v>1000</v>
      </c>
      <c r="C55" s="23"/>
      <c r="D55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55" s="22" t="s">
        <v>69</v>
      </c>
      <c r="F55" s="36" t="s">
        <v>69</v>
      </c>
    </row>
    <row r="56" spans="1:6" x14ac:dyDescent="0.35">
      <c r="A56" s="35">
        <v>45821</v>
      </c>
      <c r="B56" s="23">
        <v>90</v>
      </c>
      <c r="C56" s="23"/>
      <c r="D56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56" s="22" t="s">
        <v>26</v>
      </c>
      <c r="F56" s="36" t="s">
        <v>48</v>
      </c>
    </row>
    <row r="57" spans="1:6" x14ac:dyDescent="0.35">
      <c r="A57" s="35">
        <v>45822</v>
      </c>
      <c r="B57" s="23">
        <v>120</v>
      </c>
      <c r="C57" s="23"/>
      <c r="D57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57" s="22" t="s">
        <v>293</v>
      </c>
      <c r="F57" s="36" t="s">
        <v>48</v>
      </c>
    </row>
    <row r="58" spans="1:6" x14ac:dyDescent="0.35">
      <c r="A58" s="35">
        <v>45822</v>
      </c>
      <c r="B58" s="23">
        <v>50</v>
      </c>
      <c r="C58" s="23"/>
      <c r="D58" s="23">
        <f>Table234534568791112151416171819202122232425262728345678910113456789101112351113[[#This Row],[Cash]]+Table234534568791112151416171819202122232425262728345678910113456789101112351113[[#This Row],[Account Transfer]]</f>
        <v>50</v>
      </c>
      <c r="E58" s="22" t="s">
        <v>294</v>
      </c>
      <c r="F58" s="36" t="s">
        <v>48</v>
      </c>
    </row>
    <row r="59" spans="1:6" x14ac:dyDescent="0.35">
      <c r="A59" s="35">
        <v>45822</v>
      </c>
      <c r="B59" s="23">
        <v>60</v>
      </c>
      <c r="C59" s="23"/>
      <c r="D59" s="23">
        <f>Table234534568791112151416171819202122232425262728345678910113456789101112351113[[#This Row],[Cash]]+Table234534568791112151416171819202122232425262728345678910113456789101112351113[[#This Row],[Account Transfer]]</f>
        <v>60</v>
      </c>
      <c r="E59" s="22" t="s">
        <v>26</v>
      </c>
      <c r="F59" s="36" t="s">
        <v>48</v>
      </c>
    </row>
    <row r="60" spans="1:6" x14ac:dyDescent="0.35">
      <c r="A60" s="35">
        <v>45822</v>
      </c>
      <c r="B60" s="23">
        <v>1250</v>
      </c>
      <c r="C60" s="23"/>
      <c r="D60" s="23">
        <f>Table234534568791112151416171819202122232425262728345678910113456789101112351113[[#This Row],[Cash]]+Table234534568791112151416171819202122232425262728345678910113456789101112351113[[#This Row],[Account Transfer]]</f>
        <v>1250</v>
      </c>
      <c r="E60" s="22" t="s">
        <v>183</v>
      </c>
      <c r="F60" s="36" t="s">
        <v>51</v>
      </c>
    </row>
    <row r="61" spans="1:6" x14ac:dyDescent="0.35">
      <c r="A61" s="35">
        <v>45822</v>
      </c>
      <c r="B61" s="23">
        <v>3000</v>
      </c>
      <c r="C61" s="23"/>
      <c r="D61" s="23">
        <f>Table234534568791112151416171819202122232425262728345678910113456789101112351113[[#This Row],[Cash]]+Table234534568791112151416171819202122232425262728345678910113456789101112351113[[#This Row],[Account Transfer]]</f>
        <v>3000</v>
      </c>
      <c r="E61" s="22" t="s">
        <v>28</v>
      </c>
      <c r="F61" s="36" t="s">
        <v>51</v>
      </c>
    </row>
    <row r="62" spans="1:6" x14ac:dyDescent="0.35">
      <c r="A62" s="35">
        <v>45821</v>
      </c>
      <c r="B62" s="23">
        <v>7000</v>
      </c>
      <c r="C62" s="23"/>
      <c r="D62" s="23">
        <f>Table234534568791112151416171819202122232425262728345678910113456789101112351113[[#This Row],[Cash]]+Table234534568791112151416171819202122232425262728345678910113456789101112351113[[#This Row],[Account Transfer]]</f>
        <v>7000</v>
      </c>
      <c r="E62" s="22" t="s">
        <v>129</v>
      </c>
      <c r="F62" s="36" t="s">
        <v>42</v>
      </c>
    </row>
    <row r="63" spans="1:6" x14ac:dyDescent="0.35">
      <c r="A63" s="35">
        <v>45823</v>
      </c>
      <c r="B63" s="23">
        <v>75</v>
      </c>
      <c r="C63" s="23"/>
      <c r="D63" s="23">
        <f>Table234534568791112151416171819202122232425262728345678910113456789101112351113[[#This Row],[Cash]]+Table234534568791112151416171819202122232425262728345678910113456789101112351113[[#This Row],[Account Transfer]]</f>
        <v>75</v>
      </c>
      <c r="E63" s="22" t="s">
        <v>295</v>
      </c>
      <c r="F63" s="36" t="s">
        <v>48</v>
      </c>
    </row>
    <row r="64" spans="1:6" x14ac:dyDescent="0.35">
      <c r="A64" s="35">
        <v>45823</v>
      </c>
      <c r="B64" s="23">
        <v>200</v>
      </c>
      <c r="C64" s="23"/>
      <c r="D64" s="23">
        <f>Table234534568791112151416171819202122232425262728345678910113456789101112351113[[#This Row],[Cash]]+Table234534568791112151416171819202122232425262728345678910113456789101112351113[[#This Row],[Account Transfer]]</f>
        <v>200</v>
      </c>
      <c r="E64" s="22" t="s">
        <v>108</v>
      </c>
      <c r="F64" s="36" t="s">
        <v>48</v>
      </c>
    </row>
    <row r="65" spans="1:6" x14ac:dyDescent="0.35">
      <c r="A65" s="35">
        <v>45823</v>
      </c>
      <c r="B65" s="23">
        <v>120</v>
      </c>
      <c r="C65" s="23"/>
      <c r="D65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65" s="22" t="s">
        <v>26</v>
      </c>
      <c r="F65" s="36" t="s">
        <v>48</v>
      </c>
    </row>
    <row r="66" spans="1:6" x14ac:dyDescent="0.35">
      <c r="A66" s="35">
        <v>45824</v>
      </c>
      <c r="B66" s="23">
        <v>100</v>
      </c>
      <c r="C66" s="23"/>
      <c r="D66" s="23">
        <f>Table234534568791112151416171819202122232425262728345678910113456789101112351113[[#This Row],[Cash]]+Table234534568791112151416171819202122232425262728345678910113456789101112351113[[#This Row],[Account Transfer]]</f>
        <v>100</v>
      </c>
      <c r="E66" s="22" t="s">
        <v>129</v>
      </c>
      <c r="F66" s="36" t="s">
        <v>42</v>
      </c>
    </row>
    <row r="67" spans="1:6" x14ac:dyDescent="0.35">
      <c r="A67" s="35">
        <v>45824</v>
      </c>
      <c r="B67" s="23">
        <v>100</v>
      </c>
      <c r="C67" s="23"/>
      <c r="D67" s="23">
        <f>Table234534568791112151416171819202122232425262728345678910113456789101112351113[[#This Row],[Cash]]+Table234534568791112151416171819202122232425262728345678910113456789101112351113[[#This Row],[Account Transfer]]</f>
        <v>100</v>
      </c>
      <c r="E67" s="22" t="s">
        <v>26</v>
      </c>
      <c r="F67" s="36" t="s">
        <v>48</v>
      </c>
    </row>
    <row r="68" spans="1:6" x14ac:dyDescent="0.35">
      <c r="A68" s="35">
        <v>45825</v>
      </c>
      <c r="B68" s="23">
        <v>10000</v>
      </c>
      <c r="C68" s="23"/>
      <c r="D68" s="23">
        <f>Table234534568791112151416171819202122232425262728345678910113456789101112351113[[#This Row],[Cash]]+Table234534568791112151416171819202122232425262728345678910113456789101112351113[[#This Row],[Account Transfer]]</f>
        <v>10000</v>
      </c>
      <c r="E68" s="22" t="s">
        <v>296</v>
      </c>
      <c r="F68" s="36" t="s">
        <v>48</v>
      </c>
    </row>
    <row r="69" spans="1:6" x14ac:dyDescent="0.35">
      <c r="A69" s="35">
        <v>45825</v>
      </c>
      <c r="B69" s="23">
        <v>200</v>
      </c>
      <c r="C69" s="23"/>
      <c r="D69" s="23">
        <f>Table234534568791112151416171819202122232425262728345678910113456789101112351113[[#This Row],[Cash]]+Table234534568791112151416171819202122232425262728345678910113456789101112351113[[#This Row],[Account Transfer]]</f>
        <v>200</v>
      </c>
      <c r="E69" s="22" t="s">
        <v>19</v>
      </c>
      <c r="F69" s="36" t="s">
        <v>48</v>
      </c>
    </row>
    <row r="70" spans="1:6" x14ac:dyDescent="0.35">
      <c r="A70" s="35">
        <v>45825</v>
      </c>
      <c r="B70" s="23">
        <v>500</v>
      </c>
      <c r="C70" s="23"/>
      <c r="D70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70" s="22" t="s">
        <v>129</v>
      </c>
      <c r="F70" s="36" t="s">
        <v>42</v>
      </c>
    </row>
    <row r="71" spans="1:6" x14ac:dyDescent="0.35">
      <c r="A71" s="35">
        <v>45825</v>
      </c>
      <c r="B71" s="23">
        <v>650</v>
      </c>
      <c r="C71" s="23"/>
      <c r="D71" s="23">
        <f>Table234534568791112151416171819202122232425262728345678910113456789101112351113[[#This Row],[Cash]]+Table234534568791112151416171819202122232425262728345678910113456789101112351113[[#This Row],[Account Transfer]]</f>
        <v>650</v>
      </c>
      <c r="E71" s="22" t="s">
        <v>244</v>
      </c>
      <c r="F71" s="36" t="s">
        <v>48</v>
      </c>
    </row>
    <row r="72" spans="1:6" x14ac:dyDescent="0.35">
      <c r="A72" s="35">
        <v>45825</v>
      </c>
      <c r="B72" s="23">
        <v>90</v>
      </c>
      <c r="C72" s="23"/>
      <c r="D72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72" s="22" t="s">
        <v>26</v>
      </c>
      <c r="F72" s="36" t="s">
        <v>48</v>
      </c>
    </row>
    <row r="73" spans="1:6" x14ac:dyDescent="0.35">
      <c r="A73" s="35">
        <v>45826</v>
      </c>
      <c r="B73" s="23">
        <v>100</v>
      </c>
      <c r="C73" s="23"/>
      <c r="D73" s="23">
        <f>Table234534568791112151416171819202122232425262728345678910113456789101112351113[[#This Row],[Cash]]+Table234534568791112151416171819202122232425262728345678910113456789101112351113[[#This Row],[Account Transfer]]</f>
        <v>100</v>
      </c>
      <c r="E73" s="22" t="s">
        <v>26</v>
      </c>
      <c r="F73" s="36" t="s">
        <v>42</v>
      </c>
    </row>
    <row r="74" spans="1:6" x14ac:dyDescent="0.35">
      <c r="A74" s="35">
        <v>45826</v>
      </c>
      <c r="B74" s="23">
        <v>90</v>
      </c>
      <c r="C74" s="23"/>
      <c r="D74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74" s="22" t="s">
        <v>19</v>
      </c>
      <c r="F74" s="36" t="s">
        <v>48</v>
      </c>
    </row>
    <row r="75" spans="1:6" x14ac:dyDescent="0.35">
      <c r="A75" s="35">
        <v>45826</v>
      </c>
      <c r="B75" s="23">
        <v>600</v>
      </c>
      <c r="C75" s="23"/>
      <c r="D75" s="23">
        <f>Table234534568791112151416171819202122232425262728345678910113456789101112351113[[#This Row],[Cash]]+Table234534568791112151416171819202122232425262728345678910113456789101112351113[[#This Row],[Account Transfer]]</f>
        <v>600</v>
      </c>
      <c r="E75" s="22" t="s">
        <v>73</v>
      </c>
      <c r="F75" s="36" t="s">
        <v>48</v>
      </c>
    </row>
    <row r="76" spans="1:6" x14ac:dyDescent="0.35">
      <c r="A76" s="35">
        <v>45826</v>
      </c>
      <c r="B76" s="23">
        <v>500</v>
      </c>
      <c r="C76" s="23"/>
      <c r="D76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76" s="22" t="s">
        <v>129</v>
      </c>
      <c r="F76" s="36" t="s">
        <v>42</v>
      </c>
    </row>
    <row r="77" spans="1:6" x14ac:dyDescent="0.35">
      <c r="A77" s="35">
        <v>45826</v>
      </c>
      <c r="B77" s="23">
        <v>90</v>
      </c>
      <c r="C77" s="23"/>
      <c r="D77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77" s="22" t="s">
        <v>26</v>
      </c>
      <c r="F77" s="36" t="s">
        <v>48</v>
      </c>
    </row>
    <row r="78" spans="1:6" x14ac:dyDescent="0.35">
      <c r="A78" s="35">
        <v>45826</v>
      </c>
      <c r="B78" s="23">
        <v>1000</v>
      </c>
      <c r="C78" s="23"/>
      <c r="D78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78" s="22" t="s">
        <v>69</v>
      </c>
      <c r="F78" s="36" t="s">
        <v>297</v>
      </c>
    </row>
    <row r="79" spans="1:6" x14ac:dyDescent="0.35">
      <c r="A79" s="35">
        <v>45827</v>
      </c>
      <c r="B79" s="23">
        <v>500</v>
      </c>
      <c r="C79" s="23"/>
      <c r="D79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79" s="22" t="s">
        <v>129</v>
      </c>
      <c r="F79" s="36" t="s">
        <v>42</v>
      </c>
    </row>
    <row r="80" spans="1:6" x14ac:dyDescent="0.35">
      <c r="A80" s="35">
        <v>45827</v>
      </c>
      <c r="B80" s="23">
        <v>90</v>
      </c>
      <c r="C80" s="23"/>
      <c r="D80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80" s="22" t="s">
        <v>26</v>
      </c>
      <c r="F80" s="36" t="s">
        <v>48</v>
      </c>
    </row>
    <row r="81" spans="1:6" x14ac:dyDescent="0.35">
      <c r="A81" s="35">
        <v>45827</v>
      </c>
      <c r="B81" s="23"/>
      <c r="C81" s="23">
        <v>5000</v>
      </c>
      <c r="D81" s="23">
        <f>Table234534568791112151416171819202122232425262728345678910113456789101112351113[[#This Row],[Cash]]+Table234534568791112151416171819202122232425262728345678910113456789101112351113[[#This Row],[Account Transfer]]</f>
        <v>5000</v>
      </c>
      <c r="E81" s="22" t="s">
        <v>298</v>
      </c>
      <c r="F81" s="36" t="s">
        <v>45</v>
      </c>
    </row>
    <row r="82" spans="1:6" x14ac:dyDescent="0.35">
      <c r="A82" s="35">
        <v>45828</v>
      </c>
      <c r="B82" s="23"/>
      <c r="C82" s="23">
        <v>60000</v>
      </c>
      <c r="D82" s="23">
        <f>Table234534568791112151416171819202122232425262728345678910113456789101112351113[[#This Row],[Cash]]+Table234534568791112151416171819202122232425262728345678910113456789101112351113[[#This Row],[Account Transfer]]</f>
        <v>60000</v>
      </c>
      <c r="E82" s="22" t="s">
        <v>299</v>
      </c>
      <c r="F82" s="36" t="s">
        <v>75</v>
      </c>
    </row>
    <row r="83" spans="1:6" x14ac:dyDescent="0.35">
      <c r="A83" s="35">
        <v>45828</v>
      </c>
      <c r="B83" s="23">
        <v>500</v>
      </c>
      <c r="C83" s="23"/>
      <c r="D83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83" s="22" t="s">
        <v>80</v>
      </c>
      <c r="F83" s="36" t="s">
        <v>51</v>
      </c>
    </row>
    <row r="84" spans="1:6" x14ac:dyDescent="0.35">
      <c r="A84" s="35">
        <v>45828</v>
      </c>
      <c r="B84" s="23">
        <v>90</v>
      </c>
      <c r="C84" s="23"/>
      <c r="D84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84" s="22" t="s">
        <v>26</v>
      </c>
      <c r="F84" s="36" t="s">
        <v>48</v>
      </c>
    </row>
    <row r="85" spans="1:6" x14ac:dyDescent="0.35">
      <c r="A85" s="35">
        <v>45828</v>
      </c>
      <c r="B85" s="23">
        <v>150</v>
      </c>
      <c r="C85" s="23"/>
      <c r="D85" s="23">
        <f>Table234534568791112151416171819202122232425262728345678910113456789101112351113[[#This Row],[Cash]]+Table234534568791112151416171819202122232425262728345678910113456789101112351113[[#This Row],[Account Transfer]]</f>
        <v>150</v>
      </c>
      <c r="E85" s="22" t="s">
        <v>108</v>
      </c>
      <c r="F85" s="36" t="s">
        <v>48</v>
      </c>
    </row>
    <row r="86" spans="1:6" x14ac:dyDescent="0.35">
      <c r="A86" s="35">
        <v>45829</v>
      </c>
      <c r="B86" s="23">
        <v>60</v>
      </c>
      <c r="C86" s="23"/>
      <c r="D86" s="23">
        <f>Table234534568791112151416171819202122232425262728345678910113456789101112351113[[#This Row],[Cash]]+Table234534568791112151416171819202122232425262728345678910113456789101112351113[[#This Row],[Account Transfer]]</f>
        <v>60</v>
      </c>
      <c r="E86" s="22" t="s">
        <v>26</v>
      </c>
      <c r="F86" s="36" t="s">
        <v>48</v>
      </c>
    </row>
    <row r="87" spans="1:6" x14ac:dyDescent="0.35">
      <c r="A87" s="35">
        <v>45829</v>
      </c>
      <c r="B87" s="23">
        <v>20</v>
      </c>
      <c r="C87" s="23"/>
      <c r="D87" s="23">
        <f>Table234534568791112151416171819202122232425262728345678910113456789101112351113[[#This Row],[Cash]]+Table234534568791112151416171819202122232425262728345678910113456789101112351113[[#This Row],[Account Transfer]]</f>
        <v>20</v>
      </c>
      <c r="E87" s="22" t="s">
        <v>259</v>
      </c>
      <c r="F87" s="36" t="s">
        <v>48</v>
      </c>
    </row>
    <row r="88" spans="1:6" x14ac:dyDescent="0.35">
      <c r="A88" s="35">
        <v>45830</v>
      </c>
      <c r="B88" s="23">
        <v>230</v>
      </c>
      <c r="C88" s="23"/>
      <c r="D88" s="23">
        <f>Table234534568791112151416171819202122232425262728345678910113456789101112351113[[#This Row],[Cash]]+Table234534568791112151416171819202122232425262728345678910113456789101112351113[[#This Row],[Account Transfer]]</f>
        <v>230</v>
      </c>
      <c r="E88" s="22" t="s">
        <v>129</v>
      </c>
      <c r="F88" s="36" t="s">
        <v>42</v>
      </c>
    </row>
    <row r="89" spans="1:6" x14ac:dyDescent="0.35">
      <c r="A89" s="35">
        <v>45830</v>
      </c>
      <c r="B89" s="23">
        <v>60</v>
      </c>
      <c r="C89" s="23"/>
      <c r="D89" s="23">
        <f>Table234534568791112151416171819202122232425262728345678910113456789101112351113[[#This Row],[Cash]]+Table234534568791112151416171819202122232425262728345678910113456789101112351113[[#This Row],[Account Transfer]]</f>
        <v>60</v>
      </c>
      <c r="E89" s="22" t="s">
        <v>26</v>
      </c>
      <c r="F89" s="36" t="s">
        <v>48</v>
      </c>
    </row>
    <row r="90" spans="1:6" x14ac:dyDescent="0.35">
      <c r="A90" s="35">
        <v>45830</v>
      </c>
      <c r="B90" s="23">
        <v>50</v>
      </c>
      <c r="C90" s="23"/>
      <c r="D90" s="23">
        <f>Table234534568791112151416171819202122232425262728345678910113456789101112351113[[#This Row],[Cash]]+Table234534568791112151416171819202122232425262728345678910113456789101112351113[[#This Row],[Account Transfer]]</f>
        <v>50</v>
      </c>
      <c r="E90" s="22" t="s">
        <v>259</v>
      </c>
      <c r="F90" s="36" t="s">
        <v>48</v>
      </c>
    </row>
    <row r="91" spans="1:6" x14ac:dyDescent="0.35">
      <c r="A91" s="35">
        <v>45831</v>
      </c>
      <c r="B91" s="23">
        <v>380</v>
      </c>
      <c r="C91" s="23"/>
      <c r="D91" s="23">
        <f>Table234534568791112151416171819202122232425262728345678910113456789101112351113[[#This Row],[Cash]]+Table234534568791112151416171819202122232425262728345678910113456789101112351113[[#This Row],[Account Transfer]]</f>
        <v>380</v>
      </c>
      <c r="E91" s="22" t="s">
        <v>300</v>
      </c>
      <c r="F91" s="36" t="s">
        <v>48</v>
      </c>
    </row>
    <row r="92" spans="1:6" x14ac:dyDescent="0.35">
      <c r="A92" s="35">
        <v>45831</v>
      </c>
      <c r="B92" s="23">
        <v>50</v>
      </c>
      <c r="C92" s="23"/>
      <c r="D92" s="23">
        <f>Table234534568791112151416171819202122232425262728345678910113456789101112351113[[#This Row],[Cash]]+Table234534568791112151416171819202122232425262728345678910113456789101112351113[[#This Row],[Account Transfer]]</f>
        <v>50</v>
      </c>
      <c r="E92" s="22" t="s">
        <v>301</v>
      </c>
      <c r="F92" s="36" t="s">
        <v>42</v>
      </c>
    </row>
    <row r="93" spans="1:6" x14ac:dyDescent="0.35">
      <c r="A93" s="35">
        <v>45831</v>
      </c>
      <c r="B93" s="23">
        <v>140</v>
      </c>
      <c r="C93" s="23"/>
      <c r="D93" s="23">
        <f>Table234534568791112151416171819202122232425262728345678910113456789101112351113[[#This Row],[Cash]]+Table234534568791112151416171819202122232425262728345678910113456789101112351113[[#This Row],[Account Transfer]]</f>
        <v>140</v>
      </c>
      <c r="E93" s="22" t="s">
        <v>302</v>
      </c>
      <c r="F93" s="36" t="s">
        <v>74</v>
      </c>
    </row>
    <row r="94" spans="1:6" x14ac:dyDescent="0.35">
      <c r="A94" s="35">
        <v>45831</v>
      </c>
      <c r="B94" s="23"/>
      <c r="C94" s="23">
        <v>200</v>
      </c>
      <c r="D94" s="23">
        <f>Table234534568791112151416171819202122232425262728345678910113456789101112351113[[#This Row],[Cash]]+Table234534568791112151416171819202122232425262728345678910113456789101112351113[[#This Row],[Account Transfer]]</f>
        <v>200</v>
      </c>
      <c r="E94" s="22" t="s">
        <v>219</v>
      </c>
      <c r="F94" s="36" t="s">
        <v>48</v>
      </c>
    </row>
    <row r="95" spans="1:6" x14ac:dyDescent="0.35">
      <c r="A95" s="35">
        <v>45831</v>
      </c>
      <c r="B95" s="23"/>
      <c r="C95" s="23">
        <v>11890</v>
      </c>
      <c r="D95" s="23">
        <f>Table234534568791112151416171819202122232425262728345678910113456789101112351113[[#This Row],[Cash]]+Table234534568791112151416171819202122232425262728345678910113456789101112351113[[#This Row],[Account Transfer]]</f>
        <v>11890</v>
      </c>
      <c r="E95" s="22" t="s">
        <v>303</v>
      </c>
      <c r="F95" s="36" t="s">
        <v>304</v>
      </c>
    </row>
    <row r="96" spans="1:6" x14ac:dyDescent="0.35">
      <c r="A96" s="35">
        <v>45832</v>
      </c>
      <c r="B96" s="23">
        <v>3000</v>
      </c>
      <c r="C96" s="23"/>
      <c r="D96" s="23">
        <f>Table234534568791112151416171819202122232425262728345678910113456789101112351113[[#This Row],[Cash]]+Table234534568791112151416171819202122232425262728345678910113456789101112351113[[#This Row],[Account Transfer]]</f>
        <v>3000</v>
      </c>
      <c r="E96" s="22" t="s">
        <v>305</v>
      </c>
      <c r="F96" s="36" t="s">
        <v>45</v>
      </c>
    </row>
    <row r="97" spans="1:6" x14ac:dyDescent="0.35">
      <c r="A97" s="35">
        <v>45832</v>
      </c>
      <c r="B97" s="23">
        <v>500</v>
      </c>
      <c r="C97" s="23"/>
      <c r="D97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97" s="22" t="s">
        <v>306</v>
      </c>
      <c r="F97" s="36" t="s">
        <v>304</v>
      </c>
    </row>
    <row r="98" spans="1:6" x14ac:dyDescent="0.35">
      <c r="A98" s="35">
        <v>45832</v>
      </c>
      <c r="B98" s="23">
        <v>140</v>
      </c>
      <c r="C98" s="23"/>
      <c r="D98" s="23">
        <f>Table234534568791112151416171819202122232425262728345678910113456789101112351113[[#This Row],[Cash]]+Table234534568791112151416171819202122232425262728345678910113456789101112351113[[#This Row],[Account Transfer]]</f>
        <v>140</v>
      </c>
      <c r="E98" s="22" t="s">
        <v>302</v>
      </c>
      <c r="F98" s="36" t="s">
        <v>48</v>
      </c>
    </row>
    <row r="99" spans="1:6" x14ac:dyDescent="0.35">
      <c r="A99" s="35">
        <v>45832</v>
      </c>
      <c r="B99" s="23">
        <v>500</v>
      </c>
      <c r="C99" s="23"/>
      <c r="D99" s="23">
        <f>Table234534568791112151416171819202122232425262728345678910113456789101112351113[[#This Row],[Cash]]+Table234534568791112151416171819202122232425262728345678910113456789101112351113[[#This Row],[Account Transfer]]</f>
        <v>500</v>
      </c>
      <c r="E99" s="22" t="s">
        <v>129</v>
      </c>
      <c r="F99" s="36" t="s">
        <v>42</v>
      </c>
    </row>
    <row r="100" spans="1:6" x14ac:dyDescent="0.35">
      <c r="A100" s="35">
        <v>45832</v>
      </c>
      <c r="B100" s="23">
        <v>50000</v>
      </c>
      <c r="C100" s="23"/>
      <c r="D100" s="23">
        <f>Table234534568791112151416171819202122232425262728345678910113456789101112351113[[#This Row],[Cash]]+Table234534568791112151416171819202122232425262728345678910113456789101112351113[[#This Row],[Account Transfer]]</f>
        <v>50000</v>
      </c>
      <c r="E100" s="22" t="s">
        <v>299</v>
      </c>
      <c r="F100" s="36" t="s">
        <v>236</v>
      </c>
    </row>
    <row r="101" spans="1:6" x14ac:dyDescent="0.35">
      <c r="A101" s="35">
        <v>45832</v>
      </c>
      <c r="B101" s="23"/>
      <c r="C101" s="23">
        <v>18600</v>
      </c>
      <c r="D101" s="23">
        <f>Table234534568791112151416171819202122232425262728345678910113456789101112351113[[#This Row],[Cash]]+Table234534568791112151416171819202122232425262728345678910113456789101112351113[[#This Row],[Account Transfer]]</f>
        <v>18600</v>
      </c>
      <c r="E101" s="22" t="s">
        <v>303</v>
      </c>
      <c r="F101" s="36" t="s">
        <v>304</v>
      </c>
    </row>
    <row r="102" spans="1:6" x14ac:dyDescent="0.35">
      <c r="A102" s="35">
        <v>45833</v>
      </c>
      <c r="B102" s="23">
        <v>1000</v>
      </c>
      <c r="C102" s="23"/>
      <c r="D102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102" s="22" t="s">
        <v>69</v>
      </c>
      <c r="F102" s="36" t="s">
        <v>69</v>
      </c>
    </row>
    <row r="103" spans="1:6" x14ac:dyDescent="0.35">
      <c r="A103" s="35">
        <v>45833</v>
      </c>
      <c r="B103" s="23">
        <v>110</v>
      </c>
      <c r="C103" s="23"/>
      <c r="D103" s="23">
        <f>Table234534568791112151416171819202122232425262728345678910113456789101112351113[[#This Row],[Cash]]+Table234534568791112151416171819202122232425262728345678910113456789101112351113[[#This Row],[Account Transfer]]</f>
        <v>110</v>
      </c>
      <c r="E103" s="22" t="s">
        <v>302</v>
      </c>
      <c r="F103" s="36" t="s">
        <v>48</v>
      </c>
    </row>
    <row r="104" spans="1:6" x14ac:dyDescent="0.35">
      <c r="A104" s="35">
        <v>45834</v>
      </c>
      <c r="B104" s="23">
        <v>100</v>
      </c>
      <c r="C104" s="23"/>
      <c r="D104" s="23">
        <f>Table234534568791112151416171819202122232425262728345678910113456789101112351113[[#This Row],[Cash]]+Table234534568791112151416171819202122232425262728345678910113456789101112351113[[#This Row],[Account Transfer]]</f>
        <v>100</v>
      </c>
      <c r="E104" s="22" t="s">
        <v>129</v>
      </c>
      <c r="F104" s="36" t="s">
        <v>42</v>
      </c>
    </row>
    <row r="105" spans="1:6" x14ac:dyDescent="0.35">
      <c r="A105" s="35">
        <v>45834</v>
      </c>
      <c r="B105" s="23">
        <v>1000</v>
      </c>
      <c r="C105" s="23"/>
      <c r="D105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105" s="22" t="s">
        <v>69</v>
      </c>
      <c r="F105" s="36" t="s">
        <v>69</v>
      </c>
    </row>
    <row r="106" spans="1:6" x14ac:dyDescent="0.35">
      <c r="A106" s="35">
        <v>45834</v>
      </c>
      <c r="B106" s="23">
        <v>150</v>
      </c>
      <c r="C106" s="23"/>
      <c r="D106" s="23">
        <f>Table234534568791112151416171819202122232425262728345678910113456789101112351113[[#This Row],[Cash]]+Table234534568791112151416171819202122232425262728345678910113456789101112351113[[#This Row],[Account Transfer]]</f>
        <v>150</v>
      </c>
      <c r="E106" s="22" t="s">
        <v>302</v>
      </c>
      <c r="F106" s="36" t="s">
        <v>48</v>
      </c>
    </row>
    <row r="107" spans="1:6" x14ac:dyDescent="0.35">
      <c r="A107" s="35">
        <v>45835</v>
      </c>
      <c r="B107" s="23">
        <v>1000</v>
      </c>
      <c r="C107" s="23"/>
      <c r="D107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107" s="22" t="s">
        <v>129</v>
      </c>
      <c r="F107" s="36" t="s">
        <v>42</v>
      </c>
    </row>
    <row r="108" spans="1:6" x14ac:dyDescent="0.35">
      <c r="A108" s="35">
        <v>45835</v>
      </c>
      <c r="B108" s="23">
        <v>120</v>
      </c>
      <c r="C108" s="23"/>
      <c r="D108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108" s="22" t="s">
        <v>307</v>
      </c>
      <c r="F108" s="36" t="s">
        <v>48</v>
      </c>
    </row>
    <row r="109" spans="1:6" x14ac:dyDescent="0.35">
      <c r="A109" s="35">
        <v>45835</v>
      </c>
      <c r="B109" s="23">
        <v>1000</v>
      </c>
      <c r="C109" s="23"/>
      <c r="D109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109" s="22" t="s">
        <v>69</v>
      </c>
      <c r="F109" s="36" t="s">
        <v>297</v>
      </c>
    </row>
    <row r="110" spans="1:6" x14ac:dyDescent="0.35">
      <c r="A110" s="35">
        <v>45835</v>
      </c>
      <c r="B110" s="23">
        <v>20000</v>
      </c>
      <c r="C110" s="23"/>
      <c r="D110" s="23">
        <f>Table234534568791112151416171819202122232425262728345678910113456789101112351113[[#This Row],[Cash]]+Table234534568791112151416171819202122232425262728345678910113456789101112351113[[#This Row],[Account Transfer]]</f>
        <v>20000</v>
      </c>
      <c r="E110" s="22" t="s">
        <v>308</v>
      </c>
      <c r="F110" s="36" t="s">
        <v>45</v>
      </c>
    </row>
    <row r="111" spans="1:6" x14ac:dyDescent="0.35">
      <c r="A111" s="35">
        <v>45836</v>
      </c>
      <c r="B111" s="23">
        <v>6000</v>
      </c>
      <c r="C111" s="23"/>
      <c r="D111" s="23">
        <f>Table234534568791112151416171819202122232425262728345678910113456789101112351113[[#This Row],[Cash]]+Table234534568791112151416171819202122232425262728345678910113456789101112351113[[#This Row],[Account Transfer]]</f>
        <v>6000</v>
      </c>
      <c r="E111" s="22" t="s">
        <v>310</v>
      </c>
      <c r="F111" s="36" t="s">
        <v>45</v>
      </c>
    </row>
    <row r="112" spans="1:6" x14ac:dyDescent="0.35">
      <c r="A112" s="35">
        <v>45836</v>
      </c>
      <c r="B112" s="23">
        <v>1000</v>
      </c>
      <c r="C112" s="23"/>
      <c r="D112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112" s="22" t="s">
        <v>69</v>
      </c>
      <c r="F112" s="36" t="s">
        <v>69</v>
      </c>
    </row>
    <row r="113" spans="1:6" x14ac:dyDescent="0.35">
      <c r="A113" s="35">
        <v>45836</v>
      </c>
      <c r="B113" s="23">
        <v>120</v>
      </c>
      <c r="C113" s="23"/>
      <c r="D113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113" s="22" t="s">
        <v>26</v>
      </c>
      <c r="F113" s="36" t="s">
        <v>48</v>
      </c>
    </row>
    <row r="114" spans="1:6" x14ac:dyDescent="0.35">
      <c r="A114" s="35">
        <v>45837</v>
      </c>
      <c r="B114" s="23">
        <v>280</v>
      </c>
      <c r="C114" s="23"/>
      <c r="D114" s="23">
        <f>Table234534568791112151416171819202122232425262728345678910113456789101112351113[[#This Row],[Cash]]+Table234534568791112151416171819202122232425262728345678910113456789101112351113[[#This Row],[Account Transfer]]</f>
        <v>280</v>
      </c>
      <c r="E114" s="22" t="s">
        <v>73</v>
      </c>
      <c r="F114" s="36" t="s">
        <v>48</v>
      </c>
    </row>
    <row r="115" spans="1:6" x14ac:dyDescent="0.35">
      <c r="A115" s="35">
        <v>45837</v>
      </c>
      <c r="B115" s="23">
        <v>1000</v>
      </c>
      <c r="C115" s="23"/>
      <c r="D115" s="23">
        <f>Table234534568791112151416171819202122232425262728345678910113456789101112351113[[#This Row],[Cash]]+Table234534568791112151416171819202122232425262728345678910113456789101112351113[[#This Row],[Account Transfer]]</f>
        <v>1000</v>
      </c>
      <c r="E115" s="22" t="s">
        <v>69</v>
      </c>
      <c r="F115" s="36" t="s">
        <v>297</v>
      </c>
    </row>
    <row r="116" spans="1:6" x14ac:dyDescent="0.35">
      <c r="A116" s="35">
        <v>45837</v>
      </c>
      <c r="B116" s="23">
        <v>90</v>
      </c>
      <c r="C116" s="23"/>
      <c r="D116" s="23">
        <f>Table234534568791112151416171819202122232425262728345678910113456789101112351113[[#This Row],[Cash]]+Table234534568791112151416171819202122232425262728345678910113456789101112351113[[#This Row],[Account Transfer]]</f>
        <v>90</v>
      </c>
      <c r="E116" s="22" t="s">
        <v>26</v>
      </c>
      <c r="F116" s="36" t="s">
        <v>48</v>
      </c>
    </row>
    <row r="117" spans="1:6" x14ac:dyDescent="0.35">
      <c r="A117" s="35">
        <v>45838</v>
      </c>
      <c r="B117" s="23">
        <v>5000</v>
      </c>
      <c r="C117" s="23"/>
      <c r="D117" s="23">
        <f>Table234534568791112151416171819202122232425262728345678910113456789101112351113[[#This Row],[Cash]]+Table234534568791112151416171819202122232425262728345678910113456789101112351113[[#This Row],[Account Transfer]]</f>
        <v>5000</v>
      </c>
      <c r="E117" s="22" t="s">
        <v>215</v>
      </c>
      <c r="F117" s="36" t="s">
        <v>48</v>
      </c>
    </row>
    <row r="118" spans="1:6" x14ac:dyDescent="0.35">
      <c r="A118" s="35">
        <v>45838</v>
      </c>
      <c r="B118" s="23">
        <v>120</v>
      </c>
      <c r="C118" s="23"/>
      <c r="D118" s="23">
        <f>Table234534568791112151416171819202122232425262728345678910113456789101112351113[[#This Row],[Cash]]+Table234534568791112151416171819202122232425262728345678910113456789101112351113[[#This Row],[Account Transfer]]</f>
        <v>120</v>
      </c>
      <c r="E118" s="22" t="s">
        <v>126</v>
      </c>
      <c r="F118" s="36" t="s">
        <v>48</v>
      </c>
    </row>
    <row r="119" spans="1:6" x14ac:dyDescent="0.35">
      <c r="A119" s="35"/>
      <c r="B119" s="23"/>
      <c r="C119" s="23"/>
      <c r="D11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19" s="22"/>
      <c r="F119" s="36"/>
    </row>
    <row r="120" spans="1:6" x14ac:dyDescent="0.35">
      <c r="A120" s="35"/>
      <c r="B120" s="23"/>
      <c r="C120" s="23"/>
      <c r="D12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0" s="22"/>
      <c r="F120" s="36"/>
    </row>
    <row r="121" spans="1:6" x14ac:dyDescent="0.35">
      <c r="A121" s="35"/>
      <c r="B121" s="23"/>
      <c r="C121" s="23"/>
      <c r="D12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1" s="22"/>
      <c r="F121" s="36"/>
    </row>
    <row r="122" spans="1:6" x14ac:dyDescent="0.35">
      <c r="A122" s="35"/>
      <c r="B122" s="23"/>
      <c r="C122" s="23"/>
      <c r="D12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2" s="22"/>
      <c r="F122" s="36"/>
    </row>
    <row r="123" spans="1:6" x14ac:dyDescent="0.35">
      <c r="A123" s="35"/>
      <c r="B123" s="23"/>
      <c r="C123" s="23"/>
      <c r="D12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3" s="22"/>
      <c r="F123" s="36"/>
    </row>
    <row r="124" spans="1:6" x14ac:dyDescent="0.35">
      <c r="A124" s="35"/>
      <c r="B124" s="23"/>
      <c r="C124" s="23"/>
      <c r="D12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4" s="22"/>
      <c r="F124" s="36"/>
    </row>
    <row r="125" spans="1:6" x14ac:dyDescent="0.35">
      <c r="A125" s="35"/>
      <c r="B125" s="23"/>
      <c r="C125" s="23"/>
      <c r="D12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5" s="22"/>
      <c r="F125" s="36"/>
    </row>
    <row r="126" spans="1:6" x14ac:dyDescent="0.35">
      <c r="A126" s="35"/>
      <c r="B126" s="23"/>
      <c r="C126" s="23"/>
      <c r="D12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6" s="22"/>
      <c r="F126" s="36"/>
    </row>
    <row r="127" spans="1:6" x14ac:dyDescent="0.35">
      <c r="A127" s="35"/>
      <c r="B127" s="23"/>
      <c r="C127" s="23"/>
      <c r="D12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7" s="22"/>
      <c r="F127" s="36"/>
    </row>
    <row r="128" spans="1:6" x14ac:dyDescent="0.35">
      <c r="A128" s="35"/>
      <c r="B128" s="23"/>
      <c r="C128" s="23"/>
      <c r="D12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8" s="22"/>
      <c r="F128" s="36"/>
    </row>
    <row r="129" spans="1:6" x14ac:dyDescent="0.35">
      <c r="A129" s="35"/>
      <c r="B129" s="23"/>
      <c r="C129" s="23"/>
      <c r="D12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29" s="22"/>
      <c r="F129" s="36"/>
    </row>
    <row r="130" spans="1:6" x14ac:dyDescent="0.35">
      <c r="A130" s="35"/>
      <c r="B130" s="23"/>
      <c r="C130" s="23"/>
      <c r="D13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0" s="22"/>
      <c r="F130" s="36"/>
    </row>
    <row r="131" spans="1:6" x14ac:dyDescent="0.35">
      <c r="A131" s="35"/>
      <c r="B131" s="23"/>
      <c r="C131" s="23"/>
      <c r="D13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1" s="22"/>
      <c r="F131" s="36"/>
    </row>
    <row r="132" spans="1:6" x14ac:dyDescent="0.35">
      <c r="A132" s="35"/>
      <c r="B132" s="23"/>
      <c r="C132" s="23"/>
      <c r="D13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2" s="22"/>
      <c r="F132" s="36"/>
    </row>
    <row r="133" spans="1:6" x14ac:dyDescent="0.35">
      <c r="A133" s="35"/>
      <c r="B133" s="23"/>
      <c r="C133" s="23"/>
      <c r="D13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3" s="22"/>
      <c r="F133" s="36"/>
    </row>
    <row r="134" spans="1:6" x14ac:dyDescent="0.35">
      <c r="A134" s="35"/>
      <c r="B134" s="23"/>
      <c r="C134" s="23"/>
      <c r="D13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4" s="22"/>
      <c r="F134" s="36"/>
    </row>
    <row r="135" spans="1:6" x14ac:dyDescent="0.35">
      <c r="A135" s="35"/>
      <c r="B135" s="23"/>
      <c r="C135" s="23"/>
      <c r="D13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5" s="22"/>
      <c r="F135" s="36"/>
    </row>
    <row r="136" spans="1:6" x14ac:dyDescent="0.35">
      <c r="A136" s="35"/>
      <c r="B136" s="23"/>
      <c r="C136" s="23"/>
      <c r="D13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6" s="22"/>
      <c r="F136" s="36"/>
    </row>
    <row r="137" spans="1:6" x14ac:dyDescent="0.35">
      <c r="A137" s="35"/>
      <c r="B137" s="23"/>
      <c r="C137" s="23"/>
      <c r="D13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7" s="22"/>
      <c r="F137" s="36"/>
    </row>
    <row r="138" spans="1:6" x14ac:dyDescent="0.35">
      <c r="A138" s="35"/>
      <c r="B138" s="23"/>
      <c r="C138" s="23"/>
      <c r="D13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8" s="22"/>
      <c r="F138" s="36"/>
    </row>
    <row r="139" spans="1:6" x14ac:dyDescent="0.35">
      <c r="A139" s="35"/>
      <c r="B139" s="23"/>
      <c r="C139" s="23"/>
      <c r="D13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39" s="22"/>
      <c r="F139" s="36"/>
    </row>
    <row r="140" spans="1:6" x14ac:dyDescent="0.35">
      <c r="A140" s="35"/>
      <c r="B140" s="23"/>
      <c r="C140" s="23"/>
      <c r="D14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0" s="22"/>
      <c r="F140" s="36"/>
    </row>
    <row r="141" spans="1:6" x14ac:dyDescent="0.35">
      <c r="A141" s="35"/>
      <c r="B141" s="23"/>
      <c r="C141" s="23"/>
      <c r="D14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1" s="22"/>
      <c r="F141" s="36"/>
    </row>
    <row r="142" spans="1:6" x14ac:dyDescent="0.35">
      <c r="A142" s="35"/>
      <c r="B142" s="23"/>
      <c r="C142" s="23"/>
      <c r="D14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2" s="22"/>
      <c r="F142" s="36"/>
    </row>
    <row r="143" spans="1:6" x14ac:dyDescent="0.35">
      <c r="A143" s="35"/>
      <c r="B143" s="23"/>
      <c r="C143" s="23"/>
      <c r="D14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3" s="22"/>
      <c r="F143" s="36"/>
    </row>
    <row r="144" spans="1:6" x14ac:dyDescent="0.35">
      <c r="A144" s="35"/>
      <c r="B144" s="23"/>
      <c r="C144" s="23"/>
      <c r="D14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4" s="22"/>
      <c r="F144" s="36"/>
    </row>
    <row r="145" spans="1:6" x14ac:dyDescent="0.35">
      <c r="A145" s="35"/>
      <c r="B145" s="23"/>
      <c r="C145" s="23"/>
      <c r="D14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5" s="22"/>
      <c r="F145" s="36"/>
    </row>
    <row r="146" spans="1:6" x14ac:dyDescent="0.35">
      <c r="A146" s="35"/>
      <c r="B146" s="23"/>
      <c r="C146" s="23"/>
      <c r="D14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6" s="22"/>
      <c r="F146" s="36"/>
    </row>
    <row r="147" spans="1:6" x14ac:dyDescent="0.35">
      <c r="A147" s="35"/>
      <c r="B147" s="23"/>
      <c r="C147" s="23"/>
      <c r="D14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7" s="22"/>
      <c r="F147" s="36"/>
    </row>
    <row r="148" spans="1:6" x14ac:dyDescent="0.35">
      <c r="A148" s="35"/>
      <c r="B148" s="23"/>
      <c r="C148" s="23"/>
      <c r="D14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8" s="22"/>
      <c r="F148" s="36"/>
    </row>
    <row r="149" spans="1:6" x14ac:dyDescent="0.35">
      <c r="A149" s="35"/>
      <c r="B149" s="23"/>
      <c r="C149" s="23"/>
      <c r="D14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49" s="22"/>
      <c r="F149" s="36"/>
    </row>
    <row r="150" spans="1:6" x14ac:dyDescent="0.35">
      <c r="A150" s="35"/>
      <c r="B150" s="23"/>
      <c r="C150" s="23"/>
      <c r="D15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0" s="22"/>
      <c r="F150" s="36"/>
    </row>
    <row r="151" spans="1:6" x14ac:dyDescent="0.35">
      <c r="A151" s="35"/>
      <c r="B151" s="23"/>
      <c r="C151" s="23"/>
      <c r="D15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1" s="22"/>
      <c r="F151" s="36"/>
    </row>
    <row r="152" spans="1:6" x14ac:dyDescent="0.35">
      <c r="A152" s="35"/>
      <c r="B152" s="23"/>
      <c r="C152" s="23"/>
      <c r="D15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2" s="22"/>
      <c r="F152" s="36"/>
    </row>
    <row r="153" spans="1:6" x14ac:dyDescent="0.35">
      <c r="A153" s="35"/>
      <c r="B153" s="23"/>
      <c r="C153" s="23"/>
      <c r="D15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3" s="22"/>
      <c r="F153" s="36"/>
    </row>
    <row r="154" spans="1:6" x14ac:dyDescent="0.35">
      <c r="A154" s="35"/>
      <c r="B154" s="23"/>
      <c r="C154" s="23"/>
      <c r="D15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4" s="22"/>
      <c r="F154" s="36"/>
    </row>
    <row r="155" spans="1:6" x14ac:dyDescent="0.35">
      <c r="A155" s="35"/>
      <c r="B155" s="23"/>
      <c r="C155" s="23"/>
      <c r="D15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5" s="22"/>
      <c r="F155" s="36"/>
    </row>
    <row r="156" spans="1:6" x14ac:dyDescent="0.35">
      <c r="A156" s="35"/>
      <c r="B156" s="23"/>
      <c r="C156" s="23"/>
      <c r="D15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6" s="22"/>
      <c r="F156" s="36"/>
    </row>
    <row r="157" spans="1:6" x14ac:dyDescent="0.35">
      <c r="A157" s="35"/>
      <c r="B157" s="23"/>
      <c r="C157" s="23"/>
      <c r="D15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7" s="22"/>
      <c r="F157" s="36"/>
    </row>
    <row r="158" spans="1:6" x14ac:dyDescent="0.35">
      <c r="A158" s="35"/>
      <c r="B158" s="23"/>
      <c r="C158" s="23"/>
      <c r="D15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8" s="22"/>
      <c r="F158" s="36"/>
    </row>
    <row r="159" spans="1:6" x14ac:dyDescent="0.35">
      <c r="A159" s="35"/>
      <c r="B159" s="23"/>
      <c r="C159" s="23"/>
      <c r="D15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59" s="22"/>
      <c r="F159" s="36"/>
    </row>
    <row r="160" spans="1:6" x14ac:dyDescent="0.35">
      <c r="A160" s="35"/>
      <c r="B160" s="23"/>
      <c r="C160" s="23"/>
      <c r="D16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0" s="22"/>
      <c r="F160" s="36"/>
    </row>
    <row r="161" spans="1:6" x14ac:dyDescent="0.35">
      <c r="A161" s="35"/>
      <c r="B161" s="23"/>
      <c r="C161" s="23"/>
      <c r="D16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1" s="22"/>
      <c r="F161" s="36"/>
    </row>
    <row r="162" spans="1:6" x14ac:dyDescent="0.35">
      <c r="A162" s="35"/>
      <c r="B162" s="23"/>
      <c r="C162" s="23"/>
      <c r="D16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2" s="22"/>
      <c r="F162" s="36"/>
    </row>
    <row r="163" spans="1:6" x14ac:dyDescent="0.35">
      <c r="A163" s="35"/>
      <c r="B163" s="23"/>
      <c r="C163" s="23"/>
      <c r="D16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3" s="22"/>
      <c r="F163" s="36"/>
    </row>
    <row r="164" spans="1:6" x14ac:dyDescent="0.35">
      <c r="A164" s="35"/>
      <c r="B164" s="23"/>
      <c r="C164" s="23"/>
      <c r="D16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4" s="22"/>
      <c r="F164" s="36"/>
    </row>
    <row r="165" spans="1:6" x14ac:dyDescent="0.35">
      <c r="A165" s="35"/>
      <c r="B165" s="23"/>
      <c r="C165" s="23"/>
      <c r="D16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5" s="22"/>
      <c r="F165" s="36"/>
    </row>
    <row r="166" spans="1:6" x14ac:dyDescent="0.35">
      <c r="A166" s="35"/>
      <c r="B166" s="23"/>
      <c r="C166" s="23"/>
      <c r="D16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6" s="22"/>
      <c r="F166" s="36"/>
    </row>
    <row r="167" spans="1:6" x14ac:dyDescent="0.35">
      <c r="A167" s="35"/>
      <c r="B167" s="23"/>
      <c r="C167" s="23"/>
      <c r="D16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7" s="22"/>
      <c r="F217" s="36"/>
    </row>
    <row r="218" spans="1:6" x14ac:dyDescent="0.35">
      <c r="A218" s="35"/>
      <c r="B218" s="23"/>
      <c r="C218" s="23"/>
      <c r="D218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8" s="22"/>
      <c r="F218" s="36"/>
    </row>
    <row r="219" spans="1:6" x14ac:dyDescent="0.35">
      <c r="A219" s="35"/>
      <c r="B219" s="23"/>
      <c r="C219" s="23"/>
      <c r="D219" s="23">
        <f>Table234534568791112151416171819202122232425262728345678910113456789101112351113[[#This Row],[Cash]]+Table234534568791112151416171819202122232425262728345678910113456789101112351113[[#This Row],[Account Transfer]]</f>
        <v>0</v>
      </c>
      <c r="E219" s="22"/>
      <c r="F219" s="36"/>
    </row>
    <row r="220" spans="1:6" x14ac:dyDescent="0.35">
      <c r="A220" s="35"/>
      <c r="B220" s="23"/>
      <c r="C220" s="23"/>
      <c r="D220" s="23"/>
      <c r="E220" s="22"/>
      <c r="F220" s="36"/>
    </row>
    <row r="221" spans="1:6" x14ac:dyDescent="0.35">
      <c r="A221" s="35"/>
      <c r="B221" s="23"/>
      <c r="C221" s="23"/>
      <c r="D221" s="23"/>
      <c r="E221" s="22"/>
      <c r="F221" s="36"/>
    </row>
    <row r="222" spans="1:6" x14ac:dyDescent="0.35">
      <c r="A222" s="35"/>
      <c r="B222" s="23"/>
      <c r="C222" s="23"/>
      <c r="D222" s="23"/>
      <c r="E222" s="22"/>
      <c r="F222" s="36"/>
    </row>
    <row r="223" spans="1:6" x14ac:dyDescent="0.35">
      <c r="A223" s="35"/>
      <c r="B223" s="23"/>
      <c r="C223" s="23"/>
      <c r="D223" s="23"/>
      <c r="E223" s="22"/>
      <c r="F223" s="36"/>
    </row>
    <row r="224" spans="1:6" x14ac:dyDescent="0.35">
      <c r="A224" s="37"/>
      <c r="B224" s="38"/>
      <c r="C224" s="38"/>
      <c r="D224" s="23"/>
      <c r="E224" s="39"/>
      <c r="F224" s="4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EEF8-6FA6-45DF-A93B-3DD45B6D6A13}">
  <dimension ref="A1:V48"/>
  <sheetViews>
    <sheetView zoomScale="90" zoomScaleNormal="90" workbookViewId="0">
      <pane ySplit="1" topLeftCell="A18" activePane="bottomLeft" state="frozen"/>
      <selection activeCell="H109" sqref="H109"/>
      <selection pane="bottomLeft" activeCell="F34" sqref="F34"/>
    </sheetView>
  </sheetViews>
  <sheetFormatPr defaultColWidth="26" defaultRowHeight="14.5" x14ac:dyDescent="0.35"/>
  <cols>
    <col min="1" max="1" width="24.269531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309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Table2345345687911121514161718192021222324252627283456789101134567891011124101215[[#This Row],[Profit]]-Table2345345687911121514161718192021222324252627283456789101134567891011124101215[[#This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Table2345345687911121514161718192021222324252627283456789101134567891011124101215[[#This Row],[Account Transfer]]-Table2345345687911121514161718192021222324252627283456789101134567891011124101215[[#This Row],[Expense Online]]</f>
        <v>0</v>
      </c>
      <c r="L2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0</v>
      </c>
      <c r="M2" s="7">
        <f>Table2345345687911121514161718192021222324252627283456789101134567891011124101215[[#This Row],[Cash]]-Table2345345687911121514161718192021222324252627283456789101134567891011124101215[[#This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45839</v>
      </c>
      <c r="B3" s="7">
        <f>Table2345345687911121514161718192021222324252627283456789101134567891011124101215[[#This Row],[Profit]]-Table2345345687911121514161718192021222324252627283456789101134567891011124101215[[#This Row],[Mulbhag]]</f>
        <v>1196</v>
      </c>
      <c r="C3" s="43">
        <f>Table2345345687911121514161718192021222324252627283456789101134567891011124101215[[#This Row],[Profit]]/3</f>
        <v>598</v>
      </c>
      <c r="D3" s="7">
        <f t="shared" si="0"/>
        <v>1794</v>
      </c>
      <c r="E3" s="7">
        <f t="shared" si="1"/>
        <v>4186</v>
      </c>
      <c r="F3" s="7">
        <f t="shared" si="2"/>
        <v>5980</v>
      </c>
      <c r="G3" s="7">
        <v>100</v>
      </c>
      <c r="H3" s="7">
        <v>5880</v>
      </c>
      <c r="I3" s="7">
        <f>IFERROR(VLOOKUP(Table2345345687911121514161718192021222324252627283456789101134567891011124101215[[#This Row],[Date]],'July Expense'!H1:K249,3,0),0)</f>
        <v>1050</v>
      </c>
      <c r="J3" s="7">
        <f>IFERROR(VLOOKUP(Table2345345687911121514161718192021222324252627283456789101134567891011124101215[[#This Row],[Date]],'July Expense'!H1:K249,4,0),0)</f>
        <v>0</v>
      </c>
      <c r="K3" s="7">
        <f>Table2345345687911121514161718192021222324252627283456789101134567891011124101215[[#This Row],[Account Transfer]]-Table2345345687911121514161718192021222324252627283456789101134567891011124101215[[#This Row],[Expense Online]]</f>
        <v>5880</v>
      </c>
      <c r="L3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-2744</v>
      </c>
      <c r="M3" s="7">
        <f>Table2345345687911121514161718192021222324252627283456789101134567891011124101215[[#This Row],[Cash]]-Table2345345687911121514161718192021222324252627283456789101134567891011124101215[[#This Row],[Expense]]</f>
        <v>-950</v>
      </c>
      <c r="N3" s="45"/>
      <c r="O3" s="10">
        <f t="shared" ref="O3:O9" si="3">A3</f>
        <v>45839</v>
      </c>
      <c r="P3" s="11">
        <f>Q3/3</f>
        <v>598</v>
      </c>
      <c r="Q3" s="11">
        <f>S3*0.3</f>
        <v>1794</v>
      </c>
      <c r="R3" s="11">
        <f t="shared" ref="R3:R9" si="4">S3-Q3</f>
        <v>4186</v>
      </c>
      <c r="S3" s="11">
        <f>T3+U3</f>
        <v>5980</v>
      </c>
      <c r="T3" s="11">
        <f t="shared" ref="T3:T9" si="5">VLOOKUP(O3,$A$1:$J$34,7,0)</f>
        <v>100</v>
      </c>
      <c r="U3" s="11">
        <f t="shared" ref="U3:U9" si="6">VLOOKUP(O3,$A$1:$J$34,8,0)</f>
        <v>5880</v>
      </c>
      <c r="V3" s="11">
        <f t="shared" ref="V3:V9" si="7">VLOOKUP(O3,$A$1:$J$34,9,0)</f>
        <v>1050</v>
      </c>
    </row>
    <row r="4" spans="1:22" x14ac:dyDescent="0.35">
      <c r="A4" s="6">
        <v>45840</v>
      </c>
      <c r="B4" s="7">
        <f>Table2345345687911121514161718192021222324252627283456789101134567891011124101215[[#This Row],[Profit]]-Table2345345687911121514161718192021222324252627283456789101134567891011124101215[[#This Row],[Mulbhag]]</f>
        <v>1862</v>
      </c>
      <c r="C4" s="43">
        <f>Table2345345687911121514161718192021222324252627283456789101134567891011124101215[[#This Row],[Profit]]/3</f>
        <v>931</v>
      </c>
      <c r="D4" s="7">
        <f t="shared" si="0"/>
        <v>2793</v>
      </c>
      <c r="E4" s="7">
        <f t="shared" si="1"/>
        <v>6517</v>
      </c>
      <c r="F4" s="7">
        <f t="shared" si="2"/>
        <v>9310</v>
      </c>
      <c r="G4" s="7">
        <v>7000</v>
      </c>
      <c r="H4" s="7">
        <v>2310</v>
      </c>
      <c r="I4" s="7">
        <f>IFERROR(VLOOKUP(Table2345345687911121514161718192021222324252627283456789101134567891011124101215[[#This Row],[Date]],'July Expense'!H2:K250,3,0),0)</f>
        <v>50</v>
      </c>
      <c r="J4" s="7">
        <f>IFERROR(VLOOKUP(Table2345345687911121514161718192021222324252627283456789101134567891011124101215[[#This Row],[Date]],'July Expense'!H2:K250,4,0),0)</f>
        <v>0</v>
      </c>
      <c r="K4" s="7">
        <f>Table2345345687911121514161718192021222324252627283456789101134567891011124101215[[#This Row],[Account Transfer]]-Table2345345687911121514161718192021222324252627283456789101134567891011124101215[[#This Row],[Expense Online]]</f>
        <v>2310</v>
      </c>
      <c r="L4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4157</v>
      </c>
      <c r="M4" s="7">
        <f>Table2345345687911121514161718192021222324252627283456789101134567891011124101215[[#This Row],[Cash]]-Table2345345687911121514161718192021222324252627283456789101134567891011124101215[[#This Row],[Expense]]</f>
        <v>6950</v>
      </c>
      <c r="N4" s="45"/>
      <c r="O4" s="8">
        <f t="shared" si="3"/>
        <v>45840</v>
      </c>
      <c r="P4" s="9">
        <f>Q4/3</f>
        <v>931</v>
      </c>
      <c r="Q4" s="9">
        <f>S4*0.3</f>
        <v>2793</v>
      </c>
      <c r="R4" s="9">
        <f t="shared" si="4"/>
        <v>6517</v>
      </c>
      <c r="S4" s="9">
        <f t="shared" ref="S4:S9" si="8">T4+U4</f>
        <v>9310</v>
      </c>
      <c r="T4" s="9">
        <f t="shared" si="5"/>
        <v>7000</v>
      </c>
      <c r="U4" s="9">
        <f t="shared" si="6"/>
        <v>2310</v>
      </c>
      <c r="V4" s="9">
        <f t="shared" si="7"/>
        <v>50</v>
      </c>
    </row>
    <row r="5" spans="1:22" x14ac:dyDescent="0.35">
      <c r="A5" s="6">
        <v>45841</v>
      </c>
      <c r="B5" s="7">
        <f>Table2345345687911121514161718192021222324252627283456789101134567891011124101215[[#This Row],[Profit]]-Table2345345687911121514161718192021222324252627283456789101134567891011124101215[[#This Row],[Mulbhag]]</f>
        <v>3568</v>
      </c>
      <c r="C5" s="43">
        <f>Table2345345687911121514161718192021222324252627283456789101134567891011124101215[[#This Row],[Profit]]/3</f>
        <v>1784</v>
      </c>
      <c r="D5" s="7">
        <f t="shared" si="0"/>
        <v>5352</v>
      </c>
      <c r="E5" s="7">
        <f t="shared" si="1"/>
        <v>12488</v>
      </c>
      <c r="F5" s="7">
        <f t="shared" si="2"/>
        <v>17840</v>
      </c>
      <c r="G5" s="7">
        <v>2250</v>
      </c>
      <c r="H5" s="7">
        <v>15590</v>
      </c>
      <c r="I5" s="7">
        <f>IFERROR(VLOOKUP(Table2345345687911121514161718192021222324252627283456789101134567891011124101215[[#This Row],[Date]],'July Expense'!H3:K251,3,0),0)</f>
        <v>16694</v>
      </c>
      <c r="J5" s="7">
        <f>IFERROR(VLOOKUP(Table2345345687911121514161718192021222324252627283456789101134567891011124101215[[#This Row],[Date]],'July Expense'!H3:K251,4,0),0)</f>
        <v>0</v>
      </c>
      <c r="K5" s="7">
        <f>Table2345345687911121514161718192021222324252627283456789101134567891011124101215[[#This Row],[Account Transfer]]-Table2345345687911121514161718192021222324252627283456789101134567891011124101215[[#This Row],[Expense Online]]</f>
        <v>15590</v>
      </c>
      <c r="L5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-19796</v>
      </c>
      <c r="M5" s="7">
        <f>Table2345345687911121514161718192021222324252627283456789101134567891011124101215[[#This Row],[Cash]]-Table2345345687911121514161718192021222324252627283456789101134567891011124101215[[#This Row],[Expense]]</f>
        <v>-14444</v>
      </c>
      <c r="N5" s="45"/>
      <c r="O5" s="10">
        <f t="shared" si="3"/>
        <v>45841</v>
      </c>
      <c r="P5" s="11">
        <f t="shared" ref="P5:P9" si="9">Q5/3</f>
        <v>1784</v>
      </c>
      <c r="Q5" s="11">
        <f t="shared" ref="Q5:Q9" si="10">S5*0.3</f>
        <v>5352</v>
      </c>
      <c r="R5" s="11">
        <f t="shared" si="4"/>
        <v>12488</v>
      </c>
      <c r="S5" s="11">
        <f t="shared" si="8"/>
        <v>17840</v>
      </c>
      <c r="T5" s="11">
        <f t="shared" si="5"/>
        <v>2250</v>
      </c>
      <c r="U5" s="11">
        <f t="shared" si="6"/>
        <v>15590</v>
      </c>
      <c r="V5" s="11">
        <f t="shared" si="7"/>
        <v>16694</v>
      </c>
    </row>
    <row r="6" spans="1:22" x14ac:dyDescent="0.35">
      <c r="A6" s="6">
        <v>45842</v>
      </c>
      <c r="B6" s="7">
        <f>Table2345345687911121514161718192021222324252627283456789101134567891011124101215[[#This Row],[Profit]]-Table2345345687911121514161718192021222324252627283456789101134567891011124101215[[#This Row],[Mulbhag]]</f>
        <v>558</v>
      </c>
      <c r="C6" s="43">
        <f>Table2345345687911121514161718192021222324252627283456789101134567891011124101215[[#This Row],[Profit]]/3</f>
        <v>279</v>
      </c>
      <c r="D6" s="7">
        <f t="shared" si="0"/>
        <v>837</v>
      </c>
      <c r="E6" s="7">
        <f t="shared" si="1"/>
        <v>1953</v>
      </c>
      <c r="F6" s="7">
        <f t="shared" si="2"/>
        <v>2790</v>
      </c>
      <c r="G6" s="7">
        <v>2000</v>
      </c>
      <c r="H6" s="7">
        <v>790</v>
      </c>
      <c r="I6" s="7">
        <f>IFERROR(VLOOKUP(Table2345345687911121514161718192021222324252627283456789101134567891011124101215[[#This Row],[Date]],'July Expense'!H4:K252,3,0),0)</f>
        <v>1050</v>
      </c>
      <c r="J6" s="7">
        <f>IFERROR(VLOOKUP(Table2345345687911121514161718192021222324252627283456789101134567891011124101215[[#This Row],[Date]],'July Expense'!H4:K252,4,0),0)</f>
        <v>0</v>
      </c>
      <c r="K6" s="7">
        <f>Table2345345687911121514161718192021222324252627283456789101134567891011124101215[[#This Row],[Account Transfer]]-Table2345345687911121514161718192021222324252627283456789101134567891011124101215[[#This Row],[Expense Online]]</f>
        <v>790</v>
      </c>
      <c r="L6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113</v>
      </c>
      <c r="M6" s="7">
        <f>Table2345345687911121514161718192021222324252627283456789101134567891011124101215[[#This Row],[Cash]]-Table2345345687911121514161718192021222324252627283456789101134567891011124101215[[#This Row],[Expense]]</f>
        <v>950</v>
      </c>
      <c r="N6" s="45"/>
      <c r="O6" s="8">
        <f t="shared" si="3"/>
        <v>45842</v>
      </c>
      <c r="P6" s="9">
        <f t="shared" si="9"/>
        <v>279</v>
      </c>
      <c r="Q6" s="9">
        <f t="shared" si="10"/>
        <v>837</v>
      </c>
      <c r="R6" s="9">
        <f t="shared" si="4"/>
        <v>1953</v>
      </c>
      <c r="S6" s="9">
        <f t="shared" si="8"/>
        <v>2790</v>
      </c>
      <c r="T6" s="9">
        <f t="shared" si="5"/>
        <v>2000</v>
      </c>
      <c r="U6" s="9">
        <f t="shared" si="6"/>
        <v>790</v>
      </c>
      <c r="V6" s="9">
        <f t="shared" si="7"/>
        <v>1050</v>
      </c>
    </row>
    <row r="7" spans="1:22" x14ac:dyDescent="0.35">
      <c r="A7" s="6">
        <v>45843</v>
      </c>
      <c r="B7" s="7">
        <f>Table2345345687911121514161718192021222324252627283456789101134567891011124101215[[#This Row],[Profit]]-Table2345345687911121514161718192021222324252627283456789101134567891011124101215[[#This Row],[Mulbhag]]</f>
        <v>1150</v>
      </c>
      <c r="C7" s="43">
        <f>Table2345345687911121514161718192021222324252627283456789101134567891011124101215[[#This Row],[Profit]]/3</f>
        <v>575</v>
      </c>
      <c r="D7" s="7">
        <f t="shared" si="0"/>
        <v>1725</v>
      </c>
      <c r="E7" s="7">
        <f t="shared" si="1"/>
        <v>4025</v>
      </c>
      <c r="F7" s="7">
        <f t="shared" si="2"/>
        <v>5750</v>
      </c>
      <c r="G7" s="7">
        <v>4740</v>
      </c>
      <c r="H7" s="7">
        <v>1010</v>
      </c>
      <c r="I7" s="7">
        <f>IFERROR(VLOOKUP(Table2345345687911121514161718192021222324252627283456789101134567891011124101215[[#This Row],[Date]],'July Expense'!H5:K253,3,0),0)</f>
        <v>1020</v>
      </c>
      <c r="J7" s="7">
        <f>IFERROR(VLOOKUP(Table2345345687911121514161718192021222324252627283456789101134567891011124101215[[#This Row],[Date]],'July Expense'!H5:K253,4,0),0)</f>
        <v>0</v>
      </c>
      <c r="K7" s="7">
        <f>Table2345345687911121514161718192021222324252627283456789101134567891011124101215[[#This Row],[Account Transfer]]-Table2345345687911121514161718192021222324252627283456789101134567891011124101215[[#This Row],[Expense Online]]</f>
        <v>1010</v>
      </c>
      <c r="L7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1995</v>
      </c>
      <c r="M7" s="7">
        <f>Table2345345687911121514161718192021222324252627283456789101134567891011124101215[[#This Row],[Cash]]-Table2345345687911121514161718192021222324252627283456789101134567891011124101215[[#This Row],[Expense]]</f>
        <v>3720</v>
      </c>
      <c r="N7" s="45"/>
      <c r="O7" s="10">
        <f t="shared" si="3"/>
        <v>45843</v>
      </c>
      <c r="P7" s="11">
        <f t="shared" si="9"/>
        <v>575</v>
      </c>
      <c r="Q7" s="11">
        <f t="shared" si="10"/>
        <v>1725</v>
      </c>
      <c r="R7" s="11">
        <f t="shared" si="4"/>
        <v>4025</v>
      </c>
      <c r="S7" s="11">
        <f t="shared" si="8"/>
        <v>5750</v>
      </c>
      <c r="T7" s="11">
        <f t="shared" si="5"/>
        <v>4740</v>
      </c>
      <c r="U7" s="11">
        <f t="shared" si="6"/>
        <v>1010</v>
      </c>
      <c r="V7" s="11">
        <f t="shared" si="7"/>
        <v>1020</v>
      </c>
    </row>
    <row r="8" spans="1:22" x14ac:dyDescent="0.35">
      <c r="A8" s="6">
        <v>45844</v>
      </c>
      <c r="B8" s="7">
        <f>Table2345345687911121514161718192021222324252627283456789101134567891011124101215[[#This Row],[Profit]]-Table2345345687911121514161718192021222324252627283456789101134567891011124101215[[#This Row],[Mulbhag]]</f>
        <v>1600</v>
      </c>
      <c r="C8" s="43">
        <f>Table2345345687911121514161718192021222324252627283456789101134567891011124101215[[#This Row],[Profit]]/3</f>
        <v>800</v>
      </c>
      <c r="D8" s="7">
        <f t="shared" si="0"/>
        <v>2400</v>
      </c>
      <c r="E8" s="7">
        <f t="shared" si="1"/>
        <v>5600</v>
      </c>
      <c r="F8" s="7">
        <f t="shared" si="2"/>
        <v>8000</v>
      </c>
      <c r="G8" s="7">
        <v>3000</v>
      </c>
      <c r="H8" s="7">
        <v>5000</v>
      </c>
      <c r="I8" s="7">
        <f>IFERROR(VLOOKUP(Table2345345687911121514161718192021222324252627283456789101134567891011124101215[[#This Row],[Date]],'July Expense'!H6:K254,3,0),0)</f>
        <v>1420</v>
      </c>
      <c r="J8" s="7">
        <f>IFERROR(VLOOKUP(Table2345345687911121514161718192021222324252627283456789101134567891011124101215[[#This Row],[Date]],'July Expense'!H6:K254,4,0),0)</f>
        <v>0</v>
      </c>
      <c r="K8" s="7">
        <f>Table2345345687911121514161718192021222324252627283456789101134567891011124101215[[#This Row],[Account Transfer]]-Table2345345687911121514161718192021222324252627283456789101134567891011124101215[[#This Row],[Expense Online]]</f>
        <v>5000</v>
      </c>
      <c r="L8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-820</v>
      </c>
      <c r="M8" s="7">
        <f>Table2345345687911121514161718192021222324252627283456789101134567891011124101215[[#This Row],[Cash]]-Table2345345687911121514161718192021222324252627283456789101134567891011124101215[[#This Row],[Expense]]</f>
        <v>1580</v>
      </c>
      <c r="N8" s="45"/>
      <c r="O8" s="8">
        <f t="shared" si="3"/>
        <v>45844</v>
      </c>
      <c r="P8" s="9">
        <f t="shared" si="9"/>
        <v>800</v>
      </c>
      <c r="Q8" s="9">
        <f t="shared" si="10"/>
        <v>2400</v>
      </c>
      <c r="R8" s="9">
        <f t="shared" si="4"/>
        <v>5600</v>
      </c>
      <c r="S8" s="9">
        <f t="shared" si="8"/>
        <v>8000</v>
      </c>
      <c r="T8" s="9">
        <f t="shared" si="5"/>
        <v>3000</v>
      </c>
      <c r="U8" s="9">
        <f t="shared" si="6"/>
        <v>5000</v>
      </c>
      <c r="V8" s="9">
        <f t="shared" si="7"/>
        <v>1420</v>
      </c>
    </row>
    <row r="9" spans="1:22" x14ac:dyDescent="0.35">
      <c r="A9" s="6">
        <v>45845</v>
      </c>
      <c r="B9" s="7">
        <f>Table2345345687911121514161718192021222324252627283456789101134567891011124101215[[#This Row],[Profit]]-Table2345345687911121514161718192021222324252627283456789101134567891011124101215[[#This Row],[Mulbhag]]</f>
        <v>3414</v>
      </c>
      <c r="C9" s="43">
        <f>Table2345345687911121514161718192021222324252627283456789101134567891011124101215[[#This Row],[Profit]]/3</f>
        <v>1707</v>
      </c>
      <c r="D9" s="7">
        <f t="shared" si="0"/>
        <v>5121</v>
      </c>
      <c r="E9" s="7">
        <f t="shared" si="1"/>
        <v>11949</v>
      </c>
      <c r="F9" s="7">
        <f t="shared" si="2"/>
        <v>17070</v>
      </c>
      <c r="G9" s="7">
        <v>2230</v>
      </c>
      <c r="H9" s="7">
        <v>14840</v>
      </c>
      <c r="I9" s="7">
        <f>IFERROR(VLOOKUP(Table2345345687911121514161718192021222324252627283456789101134567891011124101215[[#This Row],[Date]],'July Expense'!H7:K255,3,0),0)</f>
        <v>7500</v>
      </c>
      <c r="J9" s="7">
        <f>IFERROR(VLOOKUP(Table2345345687911121514161718192021222324252627283456789101134567891011124101215[[#This Row],[Date]],'July Expense'!H7:K255,4,0),0)</f>
        <v>7200</v>
      </c>
      <c r="K9" s="7">
        <f>Table2345345687911121514161718192021222324252627283456789101134567891011124101215[[#This Row],[Account Transfer]]-Table2345345687911121514161718192021222324252627283456789101134567891011124101215[[#This Row],[Expense Online]]</f>
        <v>7640</v>
      </c>
      <c r="L9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-10391</v>
      </c>
      <c r="M9" s="7">
        <f>Table2345345687911121514161718192021222324252627283456789101134567891011124101215[[#This Row],[Cash]]-Table2345345687911121514161718192021222324252627283456789101134567891011124101215[[#This Row],[Expense]]</f>
        <v>-5270</v>
      </c>
      <c r="N9" s="45"/>
      <c r="O9" s="10">
        <f t="shared" si="3"/>
        <v>45845</v>
      </c>
      <c r="P9" s="11">
        <f t="shared" si="9"/>
        <v>1707</v>
      </c>
      <c r="Q9" s="11">
        <f t="shared" si="10"/>
        <v>5121</v>
      </c>
      <c r="R9" s="11">
        <f t="shared" si="4"/>
        <v>11949</v>
      </c>
      <c r="S9" s="11">
        <f t="shared" si="8"/>
        <v>17070</v>
      </c>
      <c r="T9" s="11">
        <f t="shared" si="5"/>
        <v>2230</v>
      </c>
      <c r="U9" s="11">
        <f t="shared" si="6"/>
        <v>14840</v>
      </c>
      <c r="V9" s="11">
        <f t="shared" si="7"/>
        <v>7500</v>
      </c>
    </row>
    <row r="10" spans="1:22" x14ac:dyDescent="0.35">
      <c r="A10" s="6">
        <v>45846</v>
      </c>
      <c r="B10" s="7">
        <f>Table2345345687911121514161718192021222324252627283456789101134567891011124101215[[#This Row],[Profit]]-Table2345345687911121514161718192021222324252627283456789101134567891011124101215[[#This Row],[Mulbhag]]</f>
        <v>3686</v>
      </c>
      <c r="C10" s="43">
        <f>Table2345345687911121514161718192021222324252627283456789101134567891011124101215[[#This Row],[Profit]]/3</f>
        <v>1843</v>
      </c>
      <c r="D10" s="7">
        <f t="shared" si="0"/>
        <v>5529</v>
      </c>
      <c r="E10" s="7">
        <f t="shared" si="1"/>
        <v>12901</v>
      </c>
      <c r="F10" s="7">
        <f t="shared" si="2"/>
        <v>18430</v>
      </c>
      <c r="G10" s="7">
        <v>6530</v>
      </c>
      <c r="H10" s="7">
        <v>11900</v>
      </c>
      <c r="I10" s="7">
        <f>IFERROR(VLOOKUP(Table2345345687911121514161718192021222324252627283456789101134567891011124101215[[#This Row],[Date]],'July Expense'!H8:K256,3,0),0)</f>
        <v>1590</v>
      </c>
      <c r="J10" s="7">
        <f>IFERROR(VLOOKUP(Table2345345687911121514161718192021222324252627283456789101134567891011124101215[[#This Row],[Date]],'July Expense'!H8:K256,4,0),0)</f>
        <v>0</v>
      </c>
      <c r="K10" s="7">
        <f>Table2345345687911121514161718192021222324252627283456789101134567891011124101215[[#This Row],[Account Transfer]]-Table2345345687911121514161718192021222324252627283456789101134567891011124101215[[#This Row],[Expense Online]]</f>
        <v>11900</v>
      </c>
      <c r="L10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-589</v>
      </c>
      <c r="M10" s="7">
        <f>Table2345345687911121514161718192021222324252627283456789101134567891011124101215[[#This Row],[Cash]]-Table2345345687911121514161718192021222324252627283456789101134567891011124101215[[#This Row],[Expense]]</f>
        <v>4940</v>
      </c>
      <c r="N10" s="45"/>
      <c r="O10" s="12" t="s">
        <v>3</v>
      </c>
      <c r="P10" s="12">
        <f>SUM(P3:P9)</f>
        <v>6674</v>
      </c>
      <c r="Q10" s="12">
        <f>SUM(Q3:Q9)</f>
        <v>20022</v>
      </c>
      <c r="R10" s="12">
        <f>SUM(R2:R9)</f>
        <v>46718</v>
      </c>
      <c r="S10" s="12">
        <f>SUM(S2:S9)</f>
        <v>66740</v>
      </c>
      <c r="T10" s="12">
        <f>SUM(T2:T9)</f>
        <v>21320</v>
      </c>
      <c r="U10" s="12">
        <f>SUM(U2:U9)</f>
        <v>45420</v>
      </c>
      <c r="V10" s="12">
        <f>SUM(V2:V9)</f>
        <v>28784</v>
      </c>
    </row>
    <row r="11" spans="1:22" x14ac:dyDescent="0.35">
      <c r="A11" s="6">
        <v>45847</v>
      </c>
      <c r="B11" s="7">
        <f>Table2345345687911121514161718192021222324252627283456789101134567891011124101215[[#This Row],[Profit]]-Table2345345687911121514161718192021222324252627283456789101134567891011124101215[[#This Row],[Mulbhag]]</f>
        <v>656</v>
      </c>
      <c r="C11" s="43">
        <f>Table2345345687911121514161718192021222324252627283456789101134567891011124101215[[#This Row],[Profit]]/3</f>
        <v>328</v>
      </c>
      <c r="D11" s="7">
        <f t="shared" si="0"/>
        <v>984</v>
      </c>
      <c r="E11" s="7">
        <f t="shared" si="1"/>
        <v>2296</v>
      </c>
      <c r="F11" s="7">
        <f t="shared" si="2"/>
        <v>3280</v>
      </c>
      <c r="G11" s="7">
        <v>180</v>
      </c>
      <c r="H11" s="7">
        <v>3100</v>
      </c>
      <c r="I11" s="7">
        <f>IFERROR(VLOOKUP(Table2345345687911121514161718192021222324252627283456789101134567891011124101215[[#This Row],[Date]],'July Expense'!H9:K257,3,0),0)</f>
        <v>10000</v>
      </c>
      <c r="J11" s="7">
        <f>IFERROR(VLOOKUP(Table2345345687911121514161718192021222324252627283456789101134567891011124101215[[#This Row],[Date]],'July Expense'!H9:K257,4,0),0)</f>
        <v>5200</v>
      </c>
      <c r="K11" s="7">
        <f>Table2345345687911121514161718192021222324252627283456789101134567891011124101215[[#This Row],[Account Transfer]]-Table2345345687911121514161718192021222324252627283456789101134567891011124101215[[#This Row],[Expense Online]]</f>
        <v>-2100</v>
      </c>
      <c r="L11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-10804</v>
      </c>
      <c r="M11" s="7">
        <f>Table2345345687911121514161718192021222324252627283456789101134567891011124101215[[#This Row],[Cash]]-Table2345345687911121514161718192021222324252627283456789101134567891011124101215[[#This Row],[Expense]]</f>
        <v>-9820</v>
      </c>
      <c r="N11" s="45"/>
      <c r="O11" s="12" t="s">
        <v>7</v>
      </c>
      <c r="P11" s="12"/>
      <c r="Q11" s="12">
        <f>Q10/3</f>
        <v>6674</v>
      </c>
      <c r="R11" s="12"/>
      <c r="S11" s="12"/>
      <c r="T11" s="11"/>
      <c r="U11" s="11"/>
      <c r="V11" s="11"/>
    </row>
    <row r="12" spans="1:22" x14ac:dyDescent="0.35">
      <c r="A12" s="6">
        <v>45848</v>
      </c>
      <c r="B12" s="7">
        <f>Table2345345687911121514161718192021222324252627283456789101134567891011124101215[[#This Row],[Profit]]-Table2345345687911121514161718192021222324252627283456789101134567891011124101215[[#This Row],[Mulbhag]]</f>
        <v>1791</v>
      </c>
      <c r="C12" s="43">
        <f>Table2345345687911121514161718192021222324252627283456789101134567891011124101215[[#This Row],[Profit]]/3</f>
        <v>895.5</v>
      </c>
      <c r="D12" s="7">
        <f t="shared" si="0"/>
        <v>2686.5</v>
      </c>
      <c r="E12" s="7">
        <f t="shared" si="1"/>
        <v>6268.5</v>
      </c>
      <c r="F12" s="7">
        <f t="shared" si="2"/>
        <v>8955</v>
      </c>
      <c r="G12" s="7">
        <v>5610</v>
      </c>
      <c r="H12" s="7">
        <v>3345</v>
      </c>
      <c r="I12" s="7">
        <f>IFERROR(VLOOKUP(Table2345345687911121514161718192021222324252627283456789101134567891011124101215[[#This Row],[Date]],'July Expense'!H10:K258,3,0),0)</f>
        <v>620</v>
      </c>
      <c r="J12" s="7">
        <f>IFERROR(VLOOKUP(Table2345345687911121514161718192021222324252627283456789101134567891011124101215[[#This Row],[Date]],'July Expense'!H10:K258,4,0),0)</f>
        <v>0</v>
      </c>
      <c r="K12" s="7">
        <f>Table2345345687911121514161718192021222324252627283456789101134567891011124101215[[#This Row],[Account Transfer]]-Table2345345687911121514161718192021222324252627283456789101134567891011124101215[[#This Row],[Expense Online]]</f>
        <v>3345</v>
      </c>
      <c r="L12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2303.5</v>
      </c>
      <c r="M12" s="7">
        <f>Table2345345687911121514161718192021222324252627283456789101134567891011124101215[[#This Row],[Cash]]-Table2345345687911121514161718192021222324252627283456789101134567891011124101215[[#This Row],[Expense]]</f>
        <v>4990</v>
      </c>
      <c r="N12" s="45"/>
    </row>
    <row r="13" spans="1:22" x14ac:dyDescent="0.35">
      <c r="A13" s="6">
        <v>45849</v>
      </c>
      <c r="B13" s="7">
        <f>Table2345345687911121514161718192021222324252627283456789101134567891011124101215[[#This Row],[Profit]]-Table2345345687911121514161718192021222324252627283456789101134567891011124101215[[#This Row],[Mulbhag]]</f>
        <v>4170</v>
      </c>
      <c r="C13" s="43">
        <f>Table2345345687911121514161718192021222324252627283456789101134567891011124101215[[#This Row],[Profit]]/3</f>
        <v>2085</v>
      </c>
      <c r="D13" s="7">
        <f t="shared" si="0"/>
        <v>6255</v>
      </c>
      <c r="E13" s="7">
        <f t="shared" si="1"/>
        <v>14595</v>
      </c>
      <c r="F13" s="7">
        <f t="shared" si="2"/>
        <v>20850</v>
      </c>
      <c r="G13" s="7">
        <v>9680</v>
      </c>
      <c r="H13" s="7">
        <v>11170</v>
      </c>
      <c r="I13" s="7">
        <f>IFERROR(VLOOKUP(Table2345345687911121514161718192021222324252627283456789101134567891011124101215[[#This Row],[Date]],'July Expense'!H11:K259,3,0),0)</f>
        <v>2560</v>
      </c>
      <c r="J13" s="7">
        <f>IFERROR(VLOOKUP(Table2345345687911121514161718192021222324252627283456789101134567891011124101215[[#This Row],[Date]],'July Expense'!H11:K259,4,0),0)</f>
        <v>21350</v>
      </c>
      <c r="K13" s="7">
        <f>Table2345345687911121514161718192021222324252627283456789101134567891011124101215[[#This Row],[Account Transfer]]-Table2345345687911121514161718192021222324252627283456789101134567891011124101215[[#This Row],[Expense Online]]</f>
        <v>-10180</v>
      </c>
      <c r="L13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865</v>
      </c>
      <c r="M13" s="7">
        <f>Table2345345687911121514161718192021222324252627283456789101134567891011124101215[[#This Row],[Cash]]-Table2345345687911121514161718192021222324252627283456789101134567891011124101215[[#This Row],[Expense]]</f>
        <v>7120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45850</v>
      </c>
      <c r="B14" s="7">
        <f>Table2345345687911121514161718192021222324252627283456789101134567891011124101215[[#This Row],[Profit]]-Table2345345687911121514161718192021222324252627283456789101134567891011124101215[[#This Row],[Mulbhag]]</f>
        <v>1716</v>
      </c>
      <c r="C14" s="43">
        <f>Table2345345687911121514161718192021222324252627283456789101134567891011124101215[[#This Row],[Profit]]/3</f>
        <v>858</v>
      </c>
      <c r="D14" s="7">
        <f t="shared" si="0"/>
        <v>2574</v>
      </c>
      <c r="E14" s="7">
        <f t="shared" si="1"/>
        <v>6006</v>
      </c>
      <c r="F14" s="7">
        <f t="shared" si="2"/>
        <v>8580</v>
      </c>
      <c r="G14" s="7">
        <v>3000</v>
      </c>
      <c r="H14" s="7">
        <v>5580</v>
      </c>
      <c r="I14" s="7">
        <f>IFERROR(VLOOKUP(Table2345345687911121514161718192021222324252627283456789101134567891011124101215[[#This Row],[Date]],'July Expense'!H12:K260,3,0),0)</f>
        <v>520</v>
      </c>
      <c r="J14" s="7">
        <f>IFERROR(VLOOKUP(Table2345345687911121514161718192021222324252627283456789101134567891011124101215[[#This Row],[Date]],'July Expense'!H12:K260,4,0),0)</f>
        <v>0</v>
      </c>
      <c r="K14" s="7">
        <f>Table2345345687911121514161718192021222324252627283456789101134567891011124101215[[#This Row],[Account Transfer]]-Table2345345687911121514161718192021222324252627283456789101134567891011124101215[[#This Row],[Expense Online]]</f>
        <v>5580</v>
      </c>
      <c r="L14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-94</v>
      </c>
      <c r="M14" s="7">
        <f>Table2345345687911121514161718192021222324252627283456789101134567891011124101215[[#This Row],[Cash]]-Table2345345687911121514161718192021222324252627283456789101134567891011124101215[[#This Row],[Expense]]</f>
        <v>2480</v>
      </c>
      <c r="N14" s="45"/>
      <c r="O14" s="10">
        <f t="shared" ref="O14:O20" si="11">A10</f>
        <v>45846</v>
      </c>
      <c r="P14" s="11">
        <f>Q14/3</f>
        <v>1843</v>
      </c>
      <c r="Q14" s="11">
        <f>S14*0.3</f>
        <v>5529</v>
      </c>
      <c r="R14" s="11">
        <f t="shared" ref="R14:R20" si="12">S14-Q14</f>
        <v>12901</v>
      </c>
      <c r="S14" s="11">
        <f>T14+U14</f>
        <v>18430</v>
      </c>
      <c r="T14" s="11">
        <f t="shared" ref="T14:T20" si="13">VLOOKUP(O14,$A$1:$J$34,7,0)</f>
        <v>6530</v>
      </c>
      <c r="U14" s="11">
        <f t="shared" ref="U14:U20" si="14">VLOOKUP(O14,$A$1:$J$34,8,0)</f>
        <v>11900</v>
      </c>
      <c r="V14" s="11">
        <f t="shared" ref="V14:V20" si="15">VLOOKUP(O14,$A$1:$J$34,9,0)</f>
        <v>1590</v>
      </c>
    </row>
    <row r="15" spans="1:22" x14ac:dyDescent="0.35">
      <c r="A15" s="6">
        <v>45851</v>
      </c>
      <c r="B15" s="7">
        <f>Table2345345687911121514161718192021222324252627283456789101134567891011124101215[[#This Row],[Profit]]-Table2345345687911121514161718192021222324252627283456789101134567891011124101215[[#This Row],[Mulbhag]]</f>
        <v>4978</v>
      </c>
      <c r="C15" s="43">
        <f>Table2345345687911121514161718192021222324252627283456789101134567891011124101215[[#This Row],[Profit]]/3</f>
        <v>2489</v>
      </c>
      <c r="D15" s="7">
        <f t="shared" si="0"/>
        <v>7467</v>
      </c>
      <c r="E15" s="7">
        <f t="shared" si="1"/>
        <v>17423</v>
      </c>
      <c r="F15" s="7">
        <f t="shared" si="2"/>
        <v>24890</v>
      </c>
      <c r="G15" s="7">
        <v>2780</v>
      </c>
      <c r="H15" s="7">
        <f>6110+16000</f>
        <v>22110</v>
      </c>
      <c r="I15" s="7">
        <f>IFERROR(VLOOKUP(Table2345345687911121514161718192021222324252627283456789101134567891011124101215[[#This Row],[Date]],'July Expense'!H13:K261,3,0),0)</f>
        <v>2735</v>
      </c>
      <c r="J15" s="7">
        <f>IFERROR(VLOOKUP(Table2345345687911121514161718192021222324252627283456789101134567891011124101215[[#This Row],[Date]],'July Expense'!H13:K261,4,0),0)</f>
        <v>0</v>
      </c>
      <c r="K15" s="7">
        <f>Table2345345687911121514161718192021222324252627283456789101134567891011124101215[[#This Row],[Account Transfer]]-Table2345345687911121514161718192021222324252627283456789101134567891011124101215[[#This Row],[Expense Online]]</f>
        <v>22110</v>
      </c>
      <c r="L15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-7422</v>
      </c>
      <c r="M15" s="7">
        <f>Table2345345687911121514161718192021222324252627283456789101134567891011124101215[[#This Row],[Cash]]-Table2345345687911121514161718192021222324252627283456789101134567891011124101215[[#This Row],[Expense]]</f>
        <v>45</v>
      </c>
      <c r="N15" s="45"/>
      <c r="O15" s="8">
        <f t="shared" si="11"/>
        <v>45847</v>
      </c>
      <c r="P15" s="9">
        <f>Q15/3</f>
        <v>328</v>
      </c>
      <c r="Q15" s="9">
        <f>S15*0.3</f>
        <v>984</v>
      </c>
      <c r="R15" s="9">
        <f t="shared" si="12"/>
        <v>2296</v>
      </c>
      <c r="S15" s="9">
        <f t="shared" ref="S15:S20" si="16">T15+U15</f>
        <v>3280</v>
      </c>
      <c r="T15" s="9">
        <f t="shared" si="13"/>
        <v>180</v>
      </c>
      <c r="U15" s="9">
        <f t="shared" si="14"/>
        <v>3100</v>
      </c>
      <c r="V15" s="9">
        <f t="shared" si="15"/>
        <v>10000</v>
      </c>
    </row>
    <row r="16" spans="1:22" x14ac:dyDescent="0.35">
      <c r="A16" s="6">
        <v>45852</v>
      </c>
      <c r="B16" s="7">
        <f>Table2345345687911121514161718192021222324252627283456789101134567891011124101215[[#This Row],[Profit]]-Table2345345687911121514161718192021222324252627283456789101134567891011124101215[[#This Row],[Mulbhag]]</f>
        <v>9199.4000000000015</v>
      </c>
      <c r="C16" s="43">
        <f>Table2345345687911121514161718192021222324252627283456789101134567891011124101215[[#This Row],[Profit]]/3</f>
        <v>4599.7</v>
      </c>
      <c r="D16" s="7">
        <f t="shared" si="0"/>
        <v>13799.1</v>
      </c>
      <c r="E16" s="7">
        <f t="shared" si="1"/>
        <v>32197.9</v>
      </c>
      <c r="F16" s="7">
        <f t="shared" si="2"/>
        <v>45997</v>
      </c>
      <c r="G16" s="7">
        <v>16180</v>
      </c>
      <c r="H16" s="7">
        <v>29817</v>
      </c>
      <c r="I16" s="7">
        <f>IFERROR(VLOOKUP(Table2345345687911121514161718192021222324252627283456789101134567891011124101215[[#This Row],[Date]],'July Expense'!H14:K262,3,0),0)</f>
        <v>2950</v>
      </c>
      <c r="J16" s="7">
        <f>IFERROR(VLOOKUP(Table2345345687911121514161718192021222324252627283456789101134567891011124101215[[#This Row],[Date]],'July Expense'!H14:K262,4,0),0)</f>
        <v>286</v>
      </c>
      <c r="K16" s="7">
        <f>Table2345345687911121514161718192021222324252627283456789101134567891011124101215[[#This Row],[Account Transfer]]-Table2345345687911121514161718192021222324252627283456789101134567891011124101215[[#This Row],[Expense Online]]</f>
        <v>29531</v>
      </c>
      <c r="L16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-569.10000000000218</v>
      </c>
      <c r="M16" s="7">
        <f>Table2345345687911121514161718192021222324252627283456789101134567891011124101215[[#This Row],[Cash]]-Table2345345687911121514161718192021222324252627283456789101134567891011124101215[[#This Row],[Expense]]</f>
        <v>13230</v>
      </c>
      <c r="N16" s="45"/>
      <c r="O16" s="10">
        <f t="shared" si="11"/>
        <v>45848</v>
      </c>
      <c r="P16" s="11">
        <f t="shared" ref="P16:P20" si="17">Q16/3</f>
        <v>895.5</v>
      </c>
      <c r="Q16" s="11">
        <f t="shared" ref="Q16:Q20" si="18">S16*0.3</f>
        <v>2686.5</v>
      </c>
      <c r="R16" s="11">
        <f t="shared" si="12"/>
        <v>6268.5</v>
      </c>
      <c r="S16" s="11">
        <f t="shared" si="16"/>
        <v>8955</v>
      </c>
      <c r="T16" s="11">
        <f t="shared" si="13"/>
        <v>5610</v>
      </c>
      <c r="U16" s="11">
        <f t="shared" si="14"/>
        <v>3345</v>
      </c>
      <c r="V16" s="11">
        <f t="shared" si="15"/>
        <v>620</v>
      </c>
    </row>
    <row r="17" spans="1:22" x14ac:dyDescent="0.35">
      <c r="A17" s="6">
        <v>45853</v>
      </c>
      <c r="B17" s="7">
        <f>Table2345345687911121514161718192021222324252627283456789101134567891011124101215[[#This Row],[Profit]]-Table2345345687911121514161718192021222324252627283456789101134567891011124101215[[#This Row],[Mulbhag]]</f>
        <v>3908</v>
      </c>
      <c r="C17" s="43">
        <f>Table2345345687911121514161718192021222324252627283456789101134567891011124101215[[#This Row],[Profit]]/3</f>
        <v>1954</v>
      </c>
      <c r="D17" s="7">
        <f t="shared" si="0"/>
        <v>5862</v>
      </c>
      <c r="E17" s="7">
        <f t="shared" si="1"/>
        <v>13678</v>
      </c>
      <c r="F17" s="7">
        <f t="shared" si="2"/>
        <v>19540</v>
      </c>
      <c r="G17" s="7">
        <v>7540</v>
      </c>
      <c r="H17" s="7">
        <v>12000</v>
      </c>
      <c r="I17" s="7">
        <f>IFERROR(VLOOKUP(Table2345345687911121514161718192021222324252627283456789101134567891011124101215[[#This Row],[Date]],'July Expense'!H15:K263,3,0),0)</f>
        <v>840</v>
      </c>
      <c r="J17" s="7">
        <f>IFERROR(VLOOKUP(Table2345345687911121514161718192021222324252627283456789101134567891011124101215[[#This Row],[Date]],'July Expense'!H15:K263,4,0),0)</f>
        <v>0</v>
      </c>
      <c r="K17" s="7">
        <f>Table2345345687911121514161718192021222324252627283456789101134567891011124101215[[#This Row],[Account Transfer]]-Table2345345687911121514161718192021222324252627283456789101134567891011124101215[[#This Row],[Expense Online]]</f>
        <v>12000</v>
      </c>
      <c r="L17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838</v>
      </c>
      <c r="M17" s="7">
        <f>Table2345345687911121514161718192021222324252627283456789101134567891011124101215[[#This Row],[Cash]]-Table2345345687911121514161718192021222324252627283456789101134567891011124101215[[#This Row],[Expense]]</f>
        <v>6700</v>
      </c>
      <c r="N17" s="45"/>
      <c r="O17" s="8">
        <f t="shared" si="11"/>
        <v>45849</v>
      </c>
      <c r="P17" s="9">
        <f t="shared" si="17"/>
        <v>2085</v>
      </c>
      <c r="Q17" s="9">
        <f t="shared" si="18"/>
        <v>6255</v>
      </c>
      <c r="R17" s="9">
        <f t="shared" si="12"/>
        <v>14595</v>
      </c>
      <c r="S17" s="9">
        <f t="shared" si="16"/>
        <v>20850</v>
      </c>
      <c r="T17" s="9">
        <f t="shared" si="13"/>
        <v>9680</v>
      </c>
      <c r="U17" s="9">
        <f t="shared" si="14"/>
        <v>11170</v>
      </c>
      <c r="V17" s="9">
        <f t="shared" si="15"/>
        <v>2560</v>
      </c>
    </row>
    <row r="18" spans="1:22" x14ac:dyDescent="0.35">
      <c r="A18" s="6">
        <v>45854</v>
      </c>
      <c r="B18" s="7">
        <f>Table2345345687911121514161718192021222324252627283456789101134567891011124101215[[#This Row],[Profit]]-Table2345345687911121514161718192021222324252627283456789101134567891011124101215[[#This Row],[Mulbhag]]</f>
        <v>3512.2</v>
      </c>
      <c r="C18" s="43">
        <f>Table2345345687911121514161718192021222324252627283456789101134567891011124101215[[#This Row],[Profit]]/3</f>
        <v>1756.1000000000001</v>
      </c>
      <c r="D18" s="7">
        <f t="shared" si="0"/>
        <v>5268.3</v>
      </c>
      <c r="E18" s="7">
        <f t="shared" si="1"/>
        <v>12292.7</v>
      </c>
      <c r="F18" s="7">
        <f t="shared" si="2"/>
        <v>17561</v>
      </c>
      <c r="G18" s="7">
        <v>2880</v>
      </c>
      <c r="H18" s="7">
        <v>14681</v>
      </c>
      <c r="I18" s="7">
        <f>IFERROR(VLOOKUP(Table2345345687911121514161718192021222324252627283456789101134567891011124101215[[#This Row],[Date]],'July Expense'!H16:K264,3,0),0)</f>
        <v>1220</v>
      </c>
      <c r="J18" s="7">
        <f>IFERROR(VLOOKUP(Table2345345687911121514161718192021222324252627283456789101134567891011124101215[[#This Row],[Date]],'July Expense'!H16:K264,4,0),0)</f>
        <v>0</v>
      </c>
      <c r="K18" s="7">
        <f>Table2345345687911121514161718192021222324252627283456789101134567891011124101215[[#This Row],[Account Transfer]]-Table2345345687911121514161718192021222324252627283456789101134567891011124101215[[#This Row],[Expense Online]]</f>
        <v>14681</v>
      </c>
      <c r="L18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-3608.3</v>
      </c>
      <c r="M18" s="7">
        <f>Table2345345687911121514161718192021222324252627283456789101134567891011124101215[[#This Row],[Cash]]-Table2345345687911121514161718192021222324252627283456789101134567891011124101215[[#This Row],[Expense]]</f>
        <v>1660</v>
      </c>
      <c r="N18" s="45"/>
      <c r="O18" s="10">
        <f t="shared" si="11"/>
        <v>45850</v>
      </c>
      <c r="P18" s="11">
        <f t="shared" si="17"/>
        <v>858</v>
      </c>
      <c r="Q18" s="11">
        <f t="shared" si="18"/>
        <v>2574</v>
      </c>
      <c r="R18" s="11">
        <f t="shared" si="12"/>
        <v>6006</v>
      </c>
      <c r="S18" s="11">
        <f t="shared" si="16"/>
        <v>8580</v>
      </c>
      <c r="T18" s="11">
        <f t="shared" si="13"/>
        <v>3000</v>
      </c>
      <c r="U18" s="11">
        <f t="shared" si="14"/>
        <v>5580</v>
      </c>
      <c r="V18" s="11">
        <f t="shared" si="15"/>
        <v>520</v>
      </c>
    </row>
    <row r="19" spans="1:22" x14ac:dyDescent="0.35">
      <c r="A19" s="6">
        <v>45855</v>
      </c>
      <c r="B19" s="7">
        <f>Table2345345687911121514161718192021222324252627283456789101134567891011124101215[[#This Row],[Profit]]-Table2345345687911121514161718192021222324252627283456789101134567891011124101215[[#This Row],[Mulbhag]]</f>
        <v>2984</v>
      </c>
      <c r="C19" s="43">
        <f>Table2345345687911121514161718192021222324252627283456789101134567891011124101215[[#This Row],[Profit]]/3</f>
        <v>1492</v>
      </c>
      <c r="D19" s="7">
        <f t="shared" si="0"/>
        <v>4476</v>
      </c>
      <c r="E19" s="7">
        <f t="shared" si="1"/>
        <v>10444</v>
      </c>
      <c r="F19" s="7">
        <f t="shared" si="2"/>
        <v>14920</v>
      </c>
      <c r="G19" s="7">
        <v>1450</v>
      </c>
      <c r="H19" s="7">
        <v>13470</v>
      </c>
      <c r="I19" s="7">
        <f>IFERROR(VLOOKUP(Table2345345687911121514161718192021222324252627283456789101134567891011124101215[[#This Row],[Date]],'July Expense'!H17:K265,3,0),0)</f>
        <v>850</v>
      </c>
      <c r="J19" s="7">
        <f>IFERROR(VLOOKUP(Table2345345687911121514161718192021222324252627283456789101134567891011124101215[[#This Row],[Date]],'July Expense'!H17:K265,4,0),0)</f>
        <v>0</v>
      </c>
      <c r="K19" s="7">
        <f>Table2345345687911121514161718192021222324252627283456789101134567891011124101215[[#This Row],[Account Transfer]]-Table2345345687911121514161718192021222324252627283456789101134567891011124101215[[#This Row],[Expense Online]]</f>
        <v>13470</v>
      </c>
      <c r="L19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-3876</v>
      </c>
      <c r="M19" s="7">
        <f>Table2345345687911121514161718192021222324252627283456789101134567891011124101215[[#This Row],[Cash]]-Table2345345687911121514161718192021222324252627283456789101134567891011124101215[[#This Row],[Expense]]</f>
        <v>600</v>
      </c>
      <c r="N19" s="45"/>
      <c r="O19" s="8">
        <f t="shared" si="11"/>
        <v>45851</v>
      </c>
      <c r="P19" s="9">
        <f t="shared" si="17"/>
        <v>2489</v>
      </c>
      <c r="Q19" s="9">
        <f t="shared" si="18"/>
        <v>7467</v>
      </c>
      <c r="R19" s="9">
        <f t="shared" si="12"/>
        <v>17423</v>
      </c>
      <c r="S19" s="9">
        <f t="shared" si="16"/>
        <v>24890</v>
      </c>
      <c r="T19" s="9">
        <f t="shared" si="13"/>
        <v>2780</v>
      </c>
      <c r="U19" s="9">
        <f t="shared" si="14"/>
        <v>22110</v>
      </c>
      <c r="V19" s="9">
        <f t="shared" si="15"/>
        <v>2735</v>
      </c>
    </row>
    <row r="20" spans="1:22" x14ac:dyDescent="0.35">
      <c r="A20" s="6">
        <v>45856</v>
      </c>
      <c r="B20" s="7">
        <f>Table2345345687911121514161718192021222324252627283456789101134567891011124101215[[#This Row],[Profit]]-Table2345345687911121514161718192021222324252627283456789101134567891011124101215[[#This Row],[Mulbhag]]</f>
        <v>2596</v>
      </c>
      <c r="C20" s="43">
        <f>Table2345345687911121514161718192021222324252627283456789101134567891011124101215[[#This Row],[Profit]]/3</f>
        <v>1298</v>
      </c>
      <c r="D20" s="7">
        <f t="shared" si="0"/>
        <v>3894</v>
      </c>
      <c r="E20" s="7">
        <f t="shared" si="1"/>
        <v>9086</v>
      </c>
      <c r="F20" s="7">
        <f t="shared" si="2"/>
        <v>12980</v>
      </c>
      <c r="G20" s="7">
        <v>7005</v>
      </c>
      <c r="H20" s="7">
        <v>5975</v>
      </c>
      <c r="I20" s="7">
        <f>IFERROR(VLOOKUP(Table2345345687911121514161718192021222324252627283456789101134567891011124101215[[#This Row],[Date]],'July Expense'!H18:K266,3,0),0)</f>
        <v>1400</v>
      </c>
      <c r="J20" s="7">
        <f>IFERROR(VLOOKUP(Table2345345687911121514161718192021222324252627283456789101134567891011124101215[[#This Row],[Date]],'July Expense'!H18:K266,4,0),0)</f>
        <v>0</v>
      </c>
      <c r="K20" s="7">
        <f>Table2345345687911121514161718192021222324252627283456789101134567891011124101215[[#This Row],[Account Transfer]]-Table2345345687911121514161718192021222324252627283456789101134567891011124101215[[#This Row],[Expense Online]]</f>
        <v>5975</v>
      </c>
      <c r="L20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1711</v>
      </c>
      <c r="M20" s="7">
        <f>Table2345345687911121514161718192021222324252627283456789101134567891011124101215[[#This Row],[Cash]]-Table2345345687911121514161718192021222324252627283456789101134567891011124101215[[#This Row],[Expense]]</f>
        <v>5605</v>
      </c>
      <c r="N20" s="45"/>
      <c r="O20" s="10">
        <f t="shared" si="11"/>
        <v>45852</v>
      </c>
      <c r="P20" s="11">
        <f t="shared" si="17"/>
        <v>4599.7</v>
      </c>
      <c r="Q20" s="11">
        <f t="shared" si="18"/>
        <v>13799.1</v>
      </c>
      <c r="R20" s="11">
        <f t="shared" si="12"/>
        <v>32197.9</v>
      </c>
      <c r="S20" s="11">
        <f t="shared" si="16"/>
        <v>45997</v>
      </c>
      <c r="T20" s="11">
        <f t="shared" si="13"/>
        <v>16180</v>
      </c>
      <c r="U20" s="11">
        <f t="shared" si="14"/>
        <v>29817</v>
      </c>
      <c r="V20" s="11">
        <f t="shared" si="15"/>
        <v>2950</v>
      </c>
    </row>
    <row r="21" spans="1:22" x14ac:dyDescent="0.35">
      <c r="A21" s="6">
        <v>45857</v>
      </c>
      <c r="B21" s="7">
        <f>Table2345345687911121514161718192021222324252627283456789101134567891011124101215[[#This Row],[Profit]]-Table2345345687911121514161718192021222324252627283456789101134567891011124101215[[#This Row],[Mulbhag]]</f>
        <v>1574</v>
      </c>
      <c r="C21" s="43">
        <f>Table2345345687911121514161718192021222324252627283456789101134567891011124101215[[#This Row],[Profit]]/3</f>
        <v>787</v>
      </c>
      <c r="D21" s="7">
        <f t="shared" si="0"/>
        <v>2361</v>
      </c>
      <c r="E21" s="7">
        <f t="shared" si="1"/>
        <v>5509</v>
      </c>
      <c r="F21" s="7">
        <f t="shared" si="2"/>
        <v>7870</v>
      </c>
      <c r="G21" s="7">
        <v>2600</v>
      </c>
      <c r="H21" s="7">
        <v>5270</v>
      </c>
      <c r="I21" s="7">
        <f>IFERROR(VLOOKUP(Table2345345687911121514161718192021222324252627283456789101134567891011124101215[[#This Row],[Date]],'July Expense'!H19:K267,3,0),0)</f>
        <v>1035</v>
      </c>
      <c r="J21" s="7">
        <f>IFERROR(VLOOKUP(Table2345345687911121514161718192021222324252627283456789101134567891011124101215[[#This Row],[Date]],'July Expense'!H19:K267,4,0),0)</f>
        <v>0</v>
      </c>
      <c r="K21" s="7">
        <f>Table2345345687911121514161718192021222324252627283456789101134567891011124101215[[#This Row],[Account Transfer]]-Table2345345687911121514161718192021222324252627283456789101134567891011124101215[[#This Row],[Expense Online]]</f>
        <v>5270</v>
      </c>
      <c r="L21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-796</v>
      </c>
      <c r="M21" s="7">
        <f>Table2345345687911121514161718192021222324252627283456789101134567891011124101215[[#This Row],[Cash]]-Table2345345687911121514161718192021222324252627283456789101134567891011124101215[[#This Row],[Expense]]</f>
        <v>1565</v>
      </c>
      <c r="N21" s="45"/>
      <c r="O21" s="12" t="s">
        <v>3</v>
      </c>
      <c r="P21" s="12">
        <f>SUM(P14:P20)</f>
        <v>13098.2</v>
      </c>
      <c r="Q21" s="12">
        <f t="shared" ref="Q21:V21" si="19">SUM(Q14:Q20)</f>
        <v>39294.6</v>
      </c>
      <c r="R21" s="12">
        <f t="shared" si="19"/>
        <v>91687.4</v>
      </c>
      <c r="S21" s="12">
        <f t="shared" si="19"/>
        <v>130982</v>
      </c>
      <c r="T21" s="12">
        <f t="shared" si="19"/>
        <v>43960</v>
      </c>
      <c r="U21" s="12">
        <f t="shared" si="19"/>
        <v>87022</v>
      </c>
      <c r="V21" s="12">
        <f t="shared" si="19"/>
        <v>20975</v>
      </c>
    </row>
    <row r="22" spans="1:22" x14ac:dyDescent="0.35">
      <c r="A22" s="6">
        <v>45858</v>
      </c>
      <c r="B22" s="7">
        <f>Table2345345687911121514161718192021222324252627283456789101134567891011124101215[[#This Row],[Profit]]-Table2345345687911121514161718192021222324252627283456789101134567891011124101215[[#This Row],[Mulbhag]]</f>
        <v>1382</v>
      </c>
      <c r="C22" s="43">
        <f>Table2345345687911121514161718192021222324252627283456789101134567891011124101215[[#This Row],[Profit]]/3</f>
        <v>691</v>
      </c>
      <c r="D22" s="7">
        <f t="shared" si="0"/>
        <v>2073</v>
      </c>
      <c r="E22" s="7">
        <f t="shared" si="1"/>
        <v>4837</v>
      </c>
      <c r="F22" s="7">
        <f t="shared" si="2"/>
        <v>6910</v>
      </c>
      <c r="G22" s="7">
        <v>1520</v>
      </c>
      <c r="H22" s="7">
        <v>5390</v>
      </c>
      <c r="I22" s="7">
        <f>IFERROR(VLOOKUP(Table2345345687911121514161718192021222324252627283456789101134567891011124101215[[#This Row],[Date]],'July Expense'!H20:K268,3,0),0)</f>
        <v>1640</v>
      </c>
      <c r="J22" s="7">
        <f>IFERROR(VLOOKUP(Table2345345687911121514161718192021222324252627283456789101134567891011124101215[[#This Row],[Date]],'July Expense'!H20:K268,4,0),0)</f>
        <v>61100</v>
      </c>
      <c r="K22" s="7">
        <f>Table2345345687911121514161718192021222324252627283456789101134567891011124101215[[#This Row],[Account Transfer]]-Table2345345687911121514161718192021222324252627283456789101134567891011124101215[[#This Row],[Expense Online]]</f>
        <v>-55710</v>
      </c>
      <c r="L22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-2193</v>
      </c>
      <c r="M22" s="7">
        <f>Table2345345687911121514161718192021222324252627283456789101134567891011124101215[[#This Row],[Cash]]-Table2345345687911121514161718192021222324252627283456789101134567891011124101215[[#This Row],[Expense]]</f>
        <v>-120</v>
      </c>
      <c r="N22" s="45"/>
      <c r="O22" s="12" t="s">
        <v>7</v>
      </c>
      <c r="P22" s="12"/>
      <c r="Q22" s="12">
        <f>Q21/3</f>
        <v>13098.199999999999</v>
      </c>
      <c r="R22" s="12"/>
      <c r="S22" s="12">
        <f>R22+Q22</f>
        <v>13098.199999999999</v>
      </c>
      <c r="T22" s="11"/>
      <c r="U22" s="11"/>
      <c r="V22" s="11"/>
    </row>
    <row r="23" spans="1:22" x14ac:dyDescent="0.35">
      <c r="A23" s="6">
        <v>45859</v>
      </c>
      <c r="B23" s="7">
        <f>Table2345345687911121514161718192021222324252627283456789101134567891011124101215[[#This Row],[Profit]]-Table2345345687911121514161718192021222324252627283456789101134567891011124101215[[#This Row],[Mulbhag]]</f>
        <v>2582.1999999999998</v>
      </c>
      <c r="C23" s="43">
        <f>Table2345345687911121514161718192021222324252627283456789101134567891011124101215[[#This Row],[Profit]]/3</f>
        <v>1291.0999999999999</v>
      </c>
      <c r="D23" s="7">
        <f t="shared" si="0"/>
        <v>3873.2999999999997</v>
      </c>
      <c r="E23" s="7">
        <f t="shared" si="1"/>
        <v>9037.7000000000007</v>
      </c>
      <c r="F23" s="7">
        <f t="shared" si="2"/>
        <v>12911</v>
      </c>
      <c r="G23" s="7">
        <v>3000</v>
      </c>
      <c r="H23" s="7">
        <v>9911</v>
      </c>
      <c r="I23" s="7">
        <f>IFERROR(VLOOKUP(Table2345345687911121514161718192021222324252627283456789101134567891011124101215[[#This Row],[Date]],'July Expense'!H21:K269,3,0),0)</f>
        <v>530</v>
      </c>
      <c r="J23" s="7">
        <f>IFERROR(VLOOKUP(Table2345345687911121514161718192021222324252627283456789101134567891011124101215[[#This Row],[Date]],'July Expense'!H21:K269,4,0),0)</f>
        <v>0</v>
      </c>
      <c r="K23" s="7">
        <f>Table2345345687911121514161718192021222324252627283456789101134567891011124101215[[#This Row],[Account Transfer]]-Table2345345687911121514161718192021222324252627283456789101134567891011124101215[[#This Row],[Expense Online]]</f>
        <v>9911</v>
      </c>
      <c r="L23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-1403.2999999999997</v>
      </c>
      <c r="M23" s="7">
        <f>Table2345345687911121514161718192021222324252627283456789101134567891011124101215[[#This Row],[Cash]]-Table2345345687911121514161718192021222324252627283456789101134567891011124101215[[#This Row],[Expense]]</f>
        <v>2470</v>
      </c>
      <c r="N23" s="45"/>
    </row>
    <row r="24" spans="1:22" x14ac:dyDescent="0.35">
      <c r="A24" s="6">
        <v>45860</v>
      </c>
      <c r="B24" s="7">
        <f>Table2345345687911121514161718192021222324252627283456789101134567891011124101215[[#This Row],[Profit]]-Table2345345687911121514161718192021222324252627283456789101134567891011124101215[[#This Row],[Mulbhag]]</f>
        <v>2358</v>
      </c>
      <c r="C24" s="43">
        <f>Table2345345687911121514161718192021222324252627283456789101134567891011124101215[[#This Row],[Profit]]/3</f>
        <v>1179</v>
      </c>
      <c r="D24" s="7">
        <f t="shared" si="0"/>
        <v>3537</v>
      </c>
      <c r="E24" s="7">
        <f t="shared" si="1"/>
        <v>8253</v>
      </c>
      <c r="F24" s="7">
        <f t="shared" si="2"/>
        <v>11790</v>
      </c>
      <c r="G24" s="7">
        <v>1500</v>
      </c>
      <c r="H24" s="7">
        <v>10290</v>
      </c>
      <c r="I24" s="7">
        <f>IFERROR(VLOOKUP(Table2345345687911121514161718192021222324252627283456789101134567891011124101215[[#This Row],[Date]],'July Expense'!H22:K270,3,0),0)</f>
        <v>1150</v>
      </c>
      <c r="J24" s="7">
        <f>IFERROR(VLOOKUP(Table2345345687911121514161718192021222324252627283456789101134567891011124101215[[#This Row],[Date]],'July Expense'!H22:K270,4,0),0)</f>
        <v>73100</v>
      </c>
      <c r="K24" s="7">
        <f>Table2345345687911121514161718192021222324252627283456789101134567891011124101215[[#This Row],[Account Transfer]]-Table2345345687911121514161718192021222324252627283456789101134567891011124101215[[#This Row],[Expense Online]]</f>
        <v>-62810</v>
      </c>
      <c r="L24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-3187</v>
      </c>
      <c r="M24" s="7">
        <f>Table2345345687911121514161718192021222324252627283456789101134567891011124101215[[#This Row],[Cash]]-Table2345345687911121514161718192021222324252627283456789101134567891011124101215[[#This Row],[Expense]]</f>
        <v>350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45861</v>
      </c>
      <c r="B25" s="7">
        <f>Table2345345687911121514161718192021222324252627283456789101134567891011124101215[[#This Row],[Profit]]-Table2345345687911121514161718192021222324252627283456789101134567891011124101215[[#This Row],[Mulbhag]]</f>
        <v>3384</v>
      </c>
      <c r="C25" s="43">
        <f>Table2345345687911121514161718192021222324252627283456789101134567891011124101215[[#This Row],[Profit]]/3</f>
        <v>1692</v>
      </c>
      <c r="D25" s="7">
        <f t="shared" si="0"/>
        <v>5076</v>
      </c>
      <c r="E25" s="7">
        <f t="shared" si="1"/>
        <v>11844</v>
      </c>
      <c r="F25" s="7">
        <f t="shared" si="2"/>
        <v>16920</v>
      </c>
      <c r="G25" s="7">
        <v>1020</v>
      </c>
      <c r="H25" s="7">
        <v>15900</v>
      </c>
      <c r="I25" s="7">
        <f>IFERROR(VLOOKUP(Table2345345687911121514161718192021222324252627283456789101134567891011124101215[[#This Row],[Date]],'July Expense'!H23:K271,3,0),0)</f>
        <v>1945</v>
      </c>
      <c r="J25" s="7">
        <f>IFERROR(VLOOKUP(Table2345345687911121514161718192021222324252627283456789101134567891011124101215[[#This Row],[Date]],'July Expense'!H23:K271,4,0),0)</f>
        <v>4050</v>
      </c>
      <c r="K25" s="7">
        <f>Table2345345687911121514161718192021222324252627283456789101134567891011124101215[[#This Row],[Account Transfer]]-Table2345345687911121514161718192021222324252627283456789101134567891011124101215[[#This Row],[Expense Online]]</f>
        <v>11850</v>
      </c>
      <c r="L25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-6001</v>
      </c>
      <c r="M25" s="7">
        <f>Table2345345687911121514161718192021222324252627283456789101134567891011124101215[[#This Row],[Cash]]-Table2345345687911121514161718192021222324252627283456789101134567891011124101215[[#This Row],[Expense]]</f>
        <v>-925</v>
      </c>
      <c r="N25" s="45"/>
      <c r="O25" s="10">
        <f t="shared" ref="O25:O31" si="20">A17</f>
        <v>45853</v>
      </c>
      <c r="P25" s="11">
        <f>Q25/3</f>
        <v>1954</v>
      </c>
      <c r="Q25" s="11">
        <f>S25*0.3</f>
        <v>5862</v>
      </c>
      <c r="R25" s="11">
        <f t="shared" ref="R25:R31" si="21">S25-Q25</f>
        <v>13678</v>
      </c>
      <c r="S25" s="11">
        <f>T25+U25</f>
        <v>19540</v>
      </c>
      <c r="T25" s="11">
        <f t="shared" ref="T25:T31" si="22">VLOOKUP(O25,$A$1:$J$34,7,0)</f>
        <v>7540</v>
      </c>
      <c r="U25" s="11">
        <f t="shared" ref="U25:U31" si="23">VLOOKUP(O25,$A$1:$J$34,8,0)</f>
        <v>12000</v>
      </c>
      <c r="V25" s="11">
        <f t="shared" ref="V25:V31" si="24">VLOOKUP(O25,$A$1:$J$34,9,0)</f>
        <v>840</v>
      </c>
    </row>
    <row r="26" spans="1:22" x14ac:dyDescent="0.35">
      <c r="A26" s="6">
        <v>45862</v>
      </c>
      <c r="B26" s="7">
        <f>Table2345345687911121514161718192021222324252627283456789101134567891011124101215[[#This Row],[Profit]]-Table2345345687911121514161718192021222324252627283456789101134567891011124101215[[#This Row],[Mulbhag]]</f>
        <v>1492</v>
      </c>
      <c r="C26" s="43">
        <f>Table2345345687911121514161718192021222324252627283456789101134567891011124101215[[#This Row],[Profit]]/3</f>
        <v>746</v>
      </c>
      <c r="D26" s="7">
        <f t="shared" si="0"/>
        <v>2238</v>
      </c>
      <c r="E26" s="7">
        <f t="shared" si="1"/>
        <v>5222</v>
      </c>
      <c r="F26" s="7">
        <f t="shared" si="2"/>
        <v>7460</v>
      </c>
      <c r="G26" s="7">
        <v>20</v>
      </c>
      <c r="H26" s="7">
        <v>7440</v>
      </c>
      <c r="I26" s="7">
        <f>IFERROR(VLOOKUP(Table2345345687911121514161718192021222324252627283456789101134567891011124101215[[#This Row],[Date]],'July Expense'!H24:K272,3,0),0)</f>
        <v>3720</v>
      </c>
      <c r="J26" s="7">
        <f>IFERROR(VLOOKUP(Table2345345687911121514161718192021222324252627283456789101134567891011124101215[[#This Row],[Date]],'July Expense'!H24:K272,4,0),0)</f>
        <v>0</v>
      </c>
      <c r="K26" s="7">
        <f>Table2345345687911121514161718192021222324252627283456789101134567891011124101215[[#This Row],[Account Transfer]]-Table2345345687911121514161718192021222324252627283456789101134567891011124101215[[#This Row],[Expense Online]]</f>
        <v>7440</v>
      </c>
      <c r="L26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-5938</v>
      </c>
      <c r="M26" s="7">
        <f>Table2345345687911121514161718192021222324252627283456789101134567891011124101215[[#This Row],[Cash]]-Table2345345687911121514161718192021222324252627283456789101134567891011124101215[[#This Row],[Expense]]</f>
        <v>-3700</v>
      </c>
      <c r="N26" s="45"/>
      <c r="O26" s="8">
        <f t="shared" si="20"/>
        <v>45854</v>
      </c>
      <c r="P26" s="9">
        <f>Q26/3</f>
        <v>1756.1000000000001</v>
      </c>
      <c r="Q26" s="9">
        <f>S26*0.3</f>
        <v>5268.3</v>
      </c>
      <c r="R26" s="9">
        <f t="shared" si="21"/>
        <v>12292.7</v>
      </c>
      <c r="S26" s="9">
        <f t="shared" ref="S26:S31" si="25">T26+U26</f>
        <v>17561</v>
      </c>
      <c r="T26" s="9">
        <f t="shared" si="22"/>
        <v>2880</v>
      </c>
      <c r="U26" s="9">
        <f t="shared" si="23"/>
        <v>14681</v>
      </c>
      <c r="V26" s="9">
        <f t="shared" si="24"/>
        <v>1220</v>
      </c>
    </row>
    <row r="27" spans="1:22" x14ac:dyDescent="0.35">
      <c r="A27" s="6">
        <v>45863</v>
      </c>
      <c r="B27" s="7">
        <f>Table2345345687911121514161718192021222324252627283456789101134567891011124101215[[#This Row],[Profit]]-Table2345345687911121514161718192021222324252627283456789101134567891011124101215[[#This Row],[Mulbhag]]</f>
        <v>4912.1999999999989</v>
      </c>
      <c r="C27" s="43">
        <f>Table2345345687911121514161718192021222324252627283456789101134567891011124101215[[#This Row],[Profit]]/3</f>
        <v>2456.1</v>
      </c>
      <c r="D27" s="7">
        <f t="shared" si="0"/>
        <v>7368.2999999999993</v>
      </c>
      <c r="E27" s="7">
        <f t="shared" si="1"/>
        <v>17192.7</v>
      </c>
      <c r="F27" s="7">
        <f t="shared" si="2"/>
        <v>24561</v>
      </c>
      <c r="G27" s="7">
        <v>2320</v>
      </c>
      <c r="H27" s="7">
        <f>8215+14026</f>
        <v>22241</v>
      </c>
      <c r="I27" s="7">
        <f>IFERROR(VLOOKUP(Table2345345687911121514161718192021222324252627283456789101134567891011124101215[[#This Row],[Date]],'July Expense'!H25:K273,3,0),0)</f>
        <v>1305</v>
      </c>
      <c r="J27" s="7">
        <f>IFERROR(VLOOKUP(Table2345345687911121514161718192021222324252627283456789101134567891011124101215[[#This Row],[Date]],'July Expense'!H25:K273,4,0),0)</f>
        <v>2900</v>
      </c>
      <c r="K27" s="7">
        <f>Table2345345687911121514161718192021222324252627283456789101134567891011124101215[[#This Row],[Account Transfer]]-Table2345345687911121514161718192021222324252627283456789101134567891011124101215[[#This Row],[Expense Online]]</f>
        <v>19341</v>
      </c>
      <c r="L27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-6353.2999999999993</v>
      </c>
      <c r="M27" s="7">
        <f>Table2345345687911121514161718192021222324252627283456789101134567891011124101215[[#This Row],[Cash]]-Table2345345687911121514161718192021222324252627283456789101134567891011124101215[[#This Row],[Expense]]</f>
        <v>1015</v>
      </c>
      <c r="N27" s="45"/>
      <c r="O27" s="10">
        <f t="shared" si="20"/>
        <v>45855</v>
      </c>
      <c r="P27" s="11">
        <f t="shared" ref="P27:P31" si="26">Q27/3</f>
        <v>1492</v>
      </c>
      <c r="Q27" s="11">
        <f t="shared" ref="Q27:Q31" si="27">S27*0.3</f>
        <v>4476</v>
      </c>
      <c r="R27" s="11">
        <f t="shared" si="21"/>
        <v>10444</v>
      </c>
      <c r="S27" s="11">
        <f t="shared" si="25"/>
        <v>14920</v>
      </c>
      <c r="T27" s="11">
        <f t="shared" si="22"/>
        <v>1450</v>
      </c>
      <c r="U27" s="11">
        <f t="shared" si="23"/>
        <v>13470</v>
      </c>
      <c r="V27" s="11">
        <f t="shared" si="24"/>
        <v>850</v>
      </c>
    </row>
    <row r="28" spans="1:22" x14ac:dyDescent="0.35">
      <c r="A28" s="6">
        <v>45864</v>
      </c>
      <c r="B28" s="7">
        <f>Table2345345687911121514161718192021222324252627283456789101134567891011124101215[[#This Row],[Profit]]-Table2345345687911121514161718192021222324252627283456789101134567891011124101215[[#This Row],[Mulbhag]]</f>
        <v>3288</v>
      </c>
      <c r="C28" s="43">
        <f>Table2345345687911121514161718192021222324252627283456789101134567891011124101215[[#This Row],[Profit]]/3</f>
        <v>1644</v>
      </c>
      <c r="D28" s="7">
        <f t="shared" si="0"/>
        <v>4932</v>
      </c>
      <c r="E28" s="7">
        <f t="shared" si="1"/>
        <v>11508</v>
      </c>
      <c r="F28" s="7">
        <f t="shared" si="2"/>
        <v>16440</v>
      </c>
      <c r="G28" s="7">
        <v>3750</v>
      </c>
      <c r="H28" s="7">
        <v>12690</v>
      </c>
      <c r="I28" s="7">
        <f>IFERROR(VLOOKUP(Table2345345687911121514161718192021222324252627283456789101134567891011124101215[[#This Row],[Date]],'July Expense'!H26:K274,3,0),0)</f>
        <v>5070</v>
      </c>
      <c r="J28" s="7">
        <f>IFERROR(VLOOKUP(Table2345345687911121514161718192021222324252627283456789101134567891011124101215[[#This Row],[Date]],'July Expense'!H26:K274,4,0),0)</f>
        <v>5300</v>
      </c>
      <c r="K28" s="7">
        <f>Table2345345687911121514161718192021222324252627283456789101134567891011124101215[[#This Row],[Account Transfer]]-Table2345345687911121514161718192021222324252627283456789101134567891011124101215[[#This Row],[Expense Online]]</f>
        <v>7390</v>
      </c>
      <c r="L28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-6252</v>
      </c>
      <c r="M28" s="7">
        <f>Table2345345687911121514161718192021222324252627283456789101134567891011124101215[[#This Row],[Cash]]-Table2345345687911121514161718192021222324252627283456789101134567891011124101215[[#This Row],[Expense]]</f>
        <v>-1320</v>
      </c>
      <c r="N28" s="45"/>
      <c r="O28" s="8">
        <f t="shared" si="20"/>
        <v>45856</v>
      </c>
      <c r="P28" s="9">
        <f t="shared" si="26"/>
        <v>1298</v>
      </c>
      <c r="Q28" s="9">
        <f t="shared" si="27"/>
        <v>3894</v>
      </c>
      <c r="R28" s="9">
        <f t="shared" si="21"/>
        <v>9086</v>
      </c>
      <c r="S28" s="9">
        <f t="shared" si="25"/>
        <v>12980</v>
      </c>
      <c r="T28" s="9">
        <f t="shared" si="22"/>
        <v>7005</v>
      </c>
      <c r="U28" s="9">
        <f t="shared" si="23"/>
        <v>5975</v>
      </c>
      <c r="V28" s="9">
        <f t="shared" si="24"/>
        <v>1400</v>
      </c>
    </row>
    <row r="29" spans="1:22" x14ac:dyDescent="0.35">
      <c r="A29" s="6">
        <v>45865</v>
      </c>
      <c r="B29" s="7">
        <f>Table2345345687911121514161718192021222324252627283456789101134567891011124101215[[#This Row],[Profit]]-Table2345345687911121514161718192021222324252627283456789101134567891011124101215[[#This Row],[Mulbhag]]</f>
        <v>1392</v>
      </c>
      <c r="C29" s="43">
        <f>Table2345345687911121514161718192021222324252627283456789101134567891011124101215[[#This Row],[Profit]]/3</f>
        <v>696</v>
      </c>
      <c r="D29" s="7">
        <f t="shared" si="0"/>
        <v>2088</v>
      </c>
      <c r="E29" s="7">
        <f t="shared" si="1"/>
        <v>4872</v>
      </c>
      <c r="F29" s="7">
        <f t="shared" si="2"/>
        <v>6960</v>
      </c>
      <c r="G29" s="7">
        <v>4260</v>
      </c>
      <c r="H29" s="7">
        <v>2700</v>
      </c>
      <c r="I29" s="7">
        <f>IFERROR(VLOOKUP(Table2345345687911121514161718192021222324252627283456789101134567891011124101215[[#This Row],[Date]],'July Expense'!H27:K275,3,0),0)</f>
        <v>1170</v>
      </c>
      <c r="J29" s="7">
        <f>IFERROR(VLOOKUP(Table2345345687911121514161718192021222324252627283456789101134567891011124101215[[#This Row],[Date]],'July Expense'!H27:K275,4,0),0)</f>
        <v>0</v>
      </c>
      <c r="K29" s="7">
        <f>Table2345345687911121514161718192021222324252627283456789101134567891011124101215[[#This Row],[Account Transfer]]-Table2345345687911121514161718192021222324252627283456789101134567891011124101215[[#This Row],[Expense Online]]</f>
        <v>2700</v>
      </c>
      <c r="L29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1002</v>
      </c>
      <c r="M29" s="7">
        <f>Table2345345687911121514161718192021222324252627283456789101134567891011124101215[[#This Row],[Cash]]-Table2345345687911121514161718192021222324252627283456789101134567891011124101215[[#This Row],[Expense]]</f>
        <v>3090</v>
      </c>
      <c r="N29" s="45"/>
      <c r="O29" s="10">
        <f t="shared" si="20"/>
        <v>45857</v>
      </c>
      <c r="P29" s="11">
        <f t="shared" si="26"/>
        <v>787</v>
      </c>
      <c r="Q29" s="11">
        <f t="shared" si="27"/>
        <v>2361</v>
      </c>
      <c r="R29" s="11">
        <f t="shared" si="21"/>
        <v>5509</v>
      </c>
      <c r="S29" s="11">
        <f t="shared" si="25"/>
        <v>7870</v>
      </c>
      <c r="T29" s="11">
        <f t="shared" si="22"/>
        <v>2600</v>
      </c>
      <c r="U29" s="11">
        <f t="shared" si="23"/>
        <v>5270</v>
      </c>
      <c r="V29" s="11">
        <f t="shared" si="24"/>
        <v>1035</v>
      </c>
    </row>
    <row r="30" spans="1:22" x14ac:dyDescent="0.35">
      <c r="A30" s="6">
        <v>45866</v>
      </c>
      <c r="B30" s="7">
        <f>Table2345345687911121514161718192021222324252627283456789101134567891011124101215[[#This Row],[Profit]]-Table2345345687911121514161718192021222324252627283456789101134567891011124101215[[#This Row],[Mulbhag]]</f>
        <v>2948</v>
      </c>
      <c r="C30" s="43">
        <f>Table2345345687911121514161718192021222324252627283456789101134567891011124101215[[#This Row],[Profit]]/3</f>
        <v>1474</v>
      </c>
      <c r="D30" s="7">
        <f t="shared" si="0"/>
        <v>4422</v>
      </c>
      <c r="E30" s="7">
        <f t="shared" si="1"/>
        <v>10318</v>
      </c>
      <c r="F30" s="7">
        <f t="shared" si="2"/>
        <v>14740</v>
      </c>
      <c r="G30" s="7">
        <v>5440</v>
      </c>
      <c r="H30" s="7">
        <v>9300</v>
      </c>
      <c r="I30" s="7">
        <f>IFERROR(VLOOKUP(Table2345345687911121514161718192021222324252627283456789101134567891011124101215[[#This Row],[Date]],'July Expense'!H28:K276,3,0),0)</f>
        <v>1270</v>
      </c>
      <c r="J30" s="7">
        <f>IFERROR(VLOOKUP(Table2345345687911121514161718192021222324252627283456789101134567891011124101215[[#This Row],[Date]],'July Expense'!H28:K276,4,0),0)</f>
        <v>0</v>
      </c>
      <c r="K30" s="7">
        <f>Table2345345687911121514161718192021222324252627283456789101134567891011124101215[[#This Row],[Account Transfer]]-Table2345345687911121514161718192021222324252627283456789101134567891011124101215[[#This Row],[Expense Online]]</f>
        <v>9300</v>
      </c>
      <c r="L30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-252</v>
      </c>
      <c r="M30" s="7">
        <f>Table2345345687911121514161718192021222324252627283456789101134567891011124101215[[#This Row],[Cash]]-Table2345345687911121514161718192021222324252627283456789101134567891011124101215[[#This Row],[Expense]]</f>
        <v>4170</v>
      </c>
      <c r="N30" s="45"/>
      <c r="O30" s="8">
        <f t="shared" si="20"/>
        <v>45858</v>
      </c>
      <c r="P30" s="9">
        <f t="shared" si="26"/>
        <v>691</v>
      </c>
      <c r="Q30" s="9">
        <f t="shared" si="27"/>
        <v>2073</v>
      </c>
      <c r="R30" s="9">
        <f t="shared" si="21"/>
        <v>4837</v>
      </c>
      <c r="S30" s="9">
        <f t="shared" si="25"/>
        <v>6910</v>
      </c>
      <c r="T30" s="9">
        <f t="shared" si="22"/>
        <v>1520</v>
      </c>
      <c r="U30" s="9">
        <f t="shared" si="23"/>
        <v>5390</v>
      </c>
      <c r="V30" s="9">
        <f t="shared" si="24"/>
        <v>1640</v>
      </c>
    </row>
    <row r="31" spans="1:22" x14ac:dyDescent="0.35">
      <c r="A31" s="6">
        <v>45867</v>
      </c>
      <c r="B31" s="7">
        <f>Table2345345687911121514161718192021222324252627283456789101134567891011124101215[[#This Row],[Profit]]-Table2345345687911121514161718192021222324252627283456789101134567891011124101215[[#This Row],[Mulbhag]]</f>
        <v>2696</v>
      </c>
      <c r="C31" s="43">
        <f>Table2345345687911121514161718192021222324252627283456789101134567891011124101215[[#This Row],[Profit]]/3</f>
        <v>1348</v>
      </c>
      <c r="D31" s="7">
        <f t="shared" si="0"/>
        <v>4044</v>
      </c>
      <c r="E31" s="7">
        <f t="shared" si="1"/>
        <v>9436</v>
      </c>
      <c r="F31" s="7">
        <f t="shared" si="2"/>
        <v>13480</v>
      </c>
      <c r="G31" s="7">
        <v>4400</v>
      </c>
      <c r="H31" s="7">
        <v>9080</v>
      </c>
      <c r="I31" s="7">
        <f>IFERROR(VLOOKUP(Table2345345687911121514161718192021222324252627283456789101134567891011124101215[[#This Row],[Date]],'July Expense'!H29:K277,3,0),0)</f>
        <v>10580</v>
      </c>
      <c r="J31" s="7">
        <f>IFERROR(VLOOKUP(Table2345345687911121514161718192021222324252627283456789101134567891011124101215[[#This Row],[Date]],'July Expense'!H29:K277,4,0),0)</f>
        <v>0</v>
      </c>
      <c r="K31" s="7">
        <f>Table2345345687911121514161718192021222324252627283456789101134567891011124101215[[#This Row],[Account Transfer]]-Table2345345687911121514161718192021222324252627283456789101134567891011124101215[[#This Row],[Expense Online]]</f>
        <v>9080</v>
      </c>
      <c r="L31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-10224</v>
      </c>
      <c r="M31" s="7">
        <f>Table2345345687911121514161718192021222324252627283456789101134567891011124101215[[#This Row],[Cash]]-Table2345345687911121514161718192021222324252627283456789101134567891011124101215[[#This Row],[Expense]]</f>
        <v>-6180</v>
      </c>
      <c r="N31" s="45"/>
      <c r="O31" s="10">
        <f t="shared" si="20"/>
        <v>45859</v>
      </c>
      <c r="P31" s="11">
        <f t="shared" si="26"/>
        <v>1291.0999999999999</v>
      </c>
      <c r="Q31" s="11">
        <f t="shared" si="27"/>
        <v>3873.2999999999997</v>
      </c>
      <c r="R31" s="11">
        <f t="shared" si="21"/>
        <v>9037.7000000000007</v>
      </c>
      <c r="S31" s="11">
        <f t="shared" si="25"/>
        <v>12911</v>
      </c>
      <c r="T31" s="11">
        <f t="shared" si="22"/>
        <v>3000</v>
      </c>
      <c r="U31" s="11">
        <f t="shared" si="23"/>
        <v>9911</v>
      </c>
      <c r="V31" s="11">
        <f t="shared" si="24"/>
        <v>530</v>
      </c>
    </row>
    <row r="32" spans="1:22" x14ac:dyDescent="0.35">
      <c r="A32" s="6">
        <v>45868</v>
      </c>
      <c r="B32" s="7">
        <f>Table2345345687911121514161718192021222324252627283456789101134567891011124101215[[#This Row],[Profit]]-Table2345345687911121514161718192021222324252627283456789101134567891011124101215[[#This Row],[Mulbhag]]</f>
        <v>4602</v>
      </c>
      <c r="C32" s="43">
        <f>Table2345345687911121514161718192021222324252627283456789101134567891011124101215[[#This Row],[Profit]]/3</f>
        <v>2301</v>
      </c>
      <c r="D32" s="7">
        <f t="shared" si="0"/>
        <v>6903</v>
      </c>
      <c r="E32" s="7">
        <f t="shared" si="1"/>
        <v>16107</v>
      </c>
      <c r="F32" s="7">
        <f t="shared" si="2"/>
        <v>23010</v>
      </c>
      <c r="G32" s="7">
        <v>18050</v>
      </c>
      <c r="H32" s="7">
        <v>4960</v>
      </c>
      <c r="I32" s="7">
        <f>IFERROR(VLOOKUP(Table2345345687911121514161718192021222324252627283456789101134567891011124101215[[#This Row],[Date]],'July Expense'!H30:K278,3,0),0)</f>
        <v>170</v>
      </c>
      <c r="J32" s="7">
        <f>IFERROR(VLOOKUP(Table2345345687911121514161718192021222324252627283456789101134567891011124101215[[#This Row],[Date]],'July Expense'!H30:K278,4,0),0)</f>
        <v>4800</v>
      </c>
      <c r="K32" s="7">
        <f>Table2345345687911121514161718192021222324252627283456789101134567891011124101215[[#This Row],[Account Transfer]]-Table2345345687911121514161718192021222324252627283456789101134567891011124101215[[#This Row],[Expense Online]]</f>
        <v>160</v>
      </c>
      <c r="L32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10977</v>
      </c>
      <c r="M32" s="7">
        <f>Table2345345687911121514161718192021222324252627283456789101134567891011124101215[[#This Row],[Cash]]-Table2345345687911121514161718192021222324252627283456789101134567891011124101215[[#This Row],[Expense]]</f>
        <v>17880</v>
      </c>
      <c r="N32" s="45"/>
      <c r="O32" s="12" t="s">
        <v>3</v>
      </c>
      <c r="P32" s="12">
        <f>SUM(P25:P31)</f>
        <v>9269.2000000000007</v>
      </c>
      <c r="Q32" s="11">
        <f t="shared" ref="Q32:V32" si="28">SUM(Q25:Q31)</f>
        <v>27807.599999999999</v>
      </c>
      <c r="R32" s="11">
        <f t="shared" si="28"/>
        <v>64884.399999999994</v>
      </c>
      <c r="S32" s="11">
        <f t="shared" si="28"/>
        <v>92692</v>
      </c>
      <c r="T32" s="11">
        <f t="shared" si="28"/>
        <v>25995</v>
      </c>
      <c r="U32" s="11">
        <f t="shared" si="28"/>
        <v>66697</v>
      </c>
      <c r="V32" s="11">
        <f t="shared" si="28"/>
        <v>7515</v>
      </c>
    </row>
    <row r="33" spans="1:22" x14ac:dyDescent="0.35">
      <c r="A33" s="6">
        <v>45869</v>
      </c>
      <c r="B33" s="7">
        <f>Table2345345687911121514161718192021222324252627283456789101134567891011124101215[[#This Row],[Profit]]-Table2345345687911121514161718192021222324252627283456789101134567891011124101215[[#This Row],[Mulbhag]]</f>
        <v>4643.7999999999993</v>
      </c>
      <c r="C33" s="43">
        <f>Table2345345687911121514161718192021222324252627283456789101134567891011124101215[[#This Row],[Profit]]/3</f>
        <v>2321.9</v>
      </c>
      <c r="D33" s="7">
        <f t="shared" si="0"/>
        <v>6965.7</v>
      </c>
      <c r="E33" s="7">
        <f t="shared" si="1"/>
        <v>16253.3</v>
      </c>
      <c r="F33" s="7">
        <f t="shared" si="2"/>
        <v>23219</v>
      </c>
      <c r="G33" s="7">
        <v>880</v>
      </c>
      <c r="H33" s="7">
        <f>18339+4000</f>
        <v>22339</v>
      </c>
      <c r="I33" s="7">
        <f>IFERROR(VLOOKUP(Table2345345687911121514161718192021222324252627283456789101134567891011124101215[[#This Row],[Date]],'July Expense'!H31:K279,3,0),0)</f>
        <v>120</v>
      </c>
      <c r="J33" s="7">
        <f>IFERROR(VLOOKUP(Table2345345687911121514161718192021222324252627283456789101134567891011124101215[[#This Row],[Date]],'July Expense'!H31:K279,4,0),0)</f>
        <v>0</v>
      </c>
      <c r="K33" s="7">
        <f>Table2345345687911121514161718192021222324252627283456789101134567891011124101215[[#This Row],[Account Transfer]]-Table2345345687911121514161718192021222324252627283456789101134567891011124101215[[#This Row],[Expense Online]]</f>
        <v>22339</v>
      </c>
      <c r="L33" s="7">
        <f>Table2345345687911121514161718192021222324252627283456789101134567891011124101215[[#This Row],[Cash]]-Table2345345687911121514161718192021222324252627283456789101134567891011124101215[[#This Row],[Mulbhag]]-Table2345345687911121514161718192021222324252627283456789101134567891011124101215[[#This Row],[Actual Profit]]-Table2345345687911121514161718192021222324252627283456789101134567891011124101215[[#This Row],[Expense]]</f>
        <v>-6205.6999999999989</v>
      </c>
      <c r="M33" s="7">
        <f>Table2345345687911121514161718192021222324252627283456789101134567891011124101215[[#This Row],[Cash]]-Table2345345687911121514161718192021222324252627283456789101134567891011124101215[[#This Row],[Expense]]</f>
        <v>760</v>
      </c>
      <c r="N33" s="47"/>
      <c r="O33" s="12" t="s">
        <v>7</v>
      </c>
      <c r="P33" s="9"/>
      <c r="Q33" s="9">
        <f>Q32/3</f>
        <v>9269.1999999999989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SUBTOTAL(109,Table2345345687911121514161718192021222324252627283456789101134567891011124101215[Actual Profit])</f>
        <v>89798.8</v>
      </c>
      <c r="C34" s="16">
        <f>SUBTOTAL(109,Table2345345687911121514161718192021222324252627283456789101134567891011124101215[Mulbhag])</f>
        <v>44899.4</v>
      </c>
      <c r="D34" s="16">
        <f>SUBTOTAL(109,Table2345345687911121514161718192021222324252627283456789101134567891011124101215[Profit])</f>
        <v>134698.20000000001</v>
      </c>
      <c r="E34" s="16">
        <f>SUBTOTAL(109,Table2345345687911121514161718192021222324252627283456789101134567891011124101215[Profit])</f>
        <v>134698.20000000001</v>
      </c>
      <c r="F34" s="16">
        <f>SUM(F3:F33)</f>
        <v>448994</v>
      </c>
      <c r="G34" s="16">
        <f>SUBTOTAL(109,Table2345345687911121514161718192021222324252627283456789101134567891011124101215[Profit])</f>
        <v>134698.20000000001</v>
      </c>
      <c r="H34" s="16">
        <f>SUBTOTAL(109,Table2345345687911121514161718192021222324252627283456789101134567891011124101215[Profit])</f>
        <v>134698.20000000001</v>
      </c>
      <c r="I34" s="16">
        <f>SUM(I5:I33)</f>
        <v>82674</v>
      </c>
      <c r="J34" s="16">
        <f>SUBTOTAL(109,Table2345345687911121514161718192021222324252627283456789101134567891011124101215[Expense Online])</f>
        <v>185286</v>
      </c>
      <c r="K34" s="16">
        <f>SUBTOTAL(109,Table2345345687911121514161718192021222324252627283456789101134567891011124101215[x])</f>
        <v>130793</v>
      </c>
      <c r="L34" s="16">
        <f>SUM(L5:L33)</f>
        <v>-86970.200000000012</v>
      </c>
      <c r="M34" s="16">
        <f>SUBTOTAL(109,Table2345345687911121514161718192021222324252627283456789101134567891011124101215[Actual Balance])</f>
        <v>49141</v>
      </c>
    </row>
    <row r="35" spans="1:22" x14ac:dyDescent="0.35">
      <c r="A35" s="17"/>
      <c r="B35" s="18"/>
      <c r="C35" s="18"/>
      <c r="D35" s="18">
        <f>D34/3</f>
        <v>44899.4</v>
      </c>
      <c r="E35" s="18"/>
      <c r="F35" s="18"/>
      <c r="G35" s="18">
        <f>F34*0.42</f>
        <v>188577.47999999998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</v>
      </c>
      <c r="E36" s="18"/>
      <c r="F36" s="18"/>
      <c r="G36" s="18">
        <f>G35/3</f>
        <v>62859.159999999996</v>
      </c>
      <c r="H36" s="18"/>
      <c r="I36" s="18"/>
      <c r="J36" s="18"/>
      <c r="K36" s="18"/>
      <c r="L36" s="18"/>
      <c r="M36" s="18"/>
      <c r="O36" s="8">
        <f t="shared" ref="O36:O40" si="29">A24</f>
        <v>45860</v>
      </c>
      <c r="P36" s="11">
        <f>Q36/3</f>
        <v>1179</v>
      </c>
      <c r="Q36" s="11">
        <f>S36*0.3</f>
        <v>3537</v>
      </c>
      <c r="R36" s="11">
        <f t="shared" ref="R36:R41" si="30">S36-Q36</f>
        <v>8253</v>
      </c>
      <c r="S36" s="11">
        <f>T36+U36</f>
        <v>11790</v>
      </c>
      <c r="T36" s="11">
        <f t="shared" ref="T36:T41" si="31">VLOOKUP(O36,$A$1:$J$34,7,0)</f>
        <v>1500</v>
      </c>
      <c r="U36" s="11">
        <f t="shared" ref="U36:U41" si="32">VLOOKUP(O36,$A$1:$J$34,8,0)</f>
        <v>10290</v>
      </c>
      <c r="V36" s="11">
        <f t="shared" ref="V36:V41" si="33">VLOOKUP(O36,$A$1:$J$34,9,0)</f>
        <v>1150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45861</v>
      </c>
      <c r="P37" s="9">
        <f>Q37/3</f>
        <v>1692</v>
      </c>
      <c r="Q37" s="9">
        <f>S37*0.3</f>
        <v>5076</v>
      </c>
      <c r="R37" s="9">
        <f t="shared" si="30"/>
        <v>11844</v>
      </c>
      <c r="S37" s="9">
        <f t="shared" ref="S37:S41" si="34">T37+U37</f>
        <v>16920</v>
      </c>
      <c r="T37" s="9">
        <f t="shared" si="31"/>
        <v>1020</v>
      </c>
      <c r="U37" s="9">
        <f t="shared" si="32"/>
        <v>15900</v>
      </c>
      <c r="V37" s="9">
        <f t="shared" si="33"/>
        <v>1945</v>
      </c>
    </row>
    <row r="38" spans="1:22" x14ac:dyDescent="0.35">
      <c r="A38" s="20" t="str">
        <f>CONCATENATE(TEXT(O3,"DD-MMM-YYY")," to ",TEXT(O9,"DD-MMM-YYYY"))</f>
        <v>01-Jul-2025 to 07-Jul-2025</v>
      </c>
      <c r="B38" s="11">
        <f>D38-C38</f>
        <v>13348</v>
      </c>
      <c r="C38" s="11">
        <f>D38/3</f>
        <v>6674</v>
      </c>
      <c r="D38" s="11">
        <f>Q10</f>
        <v>20022</v>
      </c>
      <c r="E38" s="11">
        <f t="shared" ref="E38:I38" si="35">R10</f>
        <v>46718</v>
      </c>
      <c r="F38" s="11">
        <f t="shared" si="35"/>
        <v>66740</v>
      </c>
      <c r="G38" s="11">
        <f t="shared" si="35"/>
        <v>21320</v>
      </c>
      <c r="H38" s="11">
        <f t="shared" si="35"/>
        <v>45420</v>
      </c>
      <c r="I38" s="11">
        <f t="shared" si="35"/>
        <v>28784</v>
      </c>
      <c r="J38" s="11"/>
      <c r="K38" s="11"/>
      <c r="L38" s="11"/>
      <c r="M38" s="11"/>
      <c r="O38" s="10">
        <f t="shared" si="29"/>
        <v>45862</v>
      </c>
      <c r="P38" s="11">
        <f t="shared" ref="P38:P41" si="36">Q38/3</f>
        <v>746</v>
      </c>
      <c r="Q38" s="11">
        <f t="shared" ref="Q38:Q41" si="37">S38*0.3</f>
        <v>2238</v>
      </c>
      <c r="R38" s="11">
        <f t="shared" si="30"/>
        <v>5222</v>
      </c>
      <c r="S38" s="11">
        <f t="shared" si="34"/>
        <v>7460</v>
      </c>
      <c r="T38" s="11">
        <f t="shared" si="31"/>
        <v>20</v>
      </c>
      <c r="U38" s="11">
        <f t="shared" si="32"/>
        <v>7440</v>
      </c>
      <c r="V38" s="11">
        <f t="shared" si="33"/>
        <v>3720</v>
      </c>
    </row>
    <row r="39" spans="1:22" x14ac:dyDescent="0.35">
      <c r="A39" s="20" t="str">
        <f>CONCATENATE(TEXT(O14,"DD-MMM-YYY")," to ",TEXT(O20,"DD-MMM-YYYY"))</f>
        <v>08-Jul-2025 to 14-Jul-2025</v>
      </c>
      <c r="B39" s="9">
        <f t="shared" ref="B39:B42" si="38">D39-C39</f>
        <v>26196.400000000001</v>
      </c>
      <c r="C39" s="9">
        <f t="shared" ref="C39:C42" si="39">D39/3</f>
        <v>13098.199999999999</v>
      </c>
      <c r="D39" s="9">
        <f>Q21</f>
        <v>39294.6</v>
      </c>
      <c r="E39" s="9">
        <f t="shared" ref="E39:I39" si="40">R21</f>
        <v>91687.4</v>
      </c>
      <c r="F39" s="9">
        <f t="shared" si="40"/>
        <v>130982</v>
      </c>
      <c r="G39" s="9">
        <f t="shared" si="40"/>
        <v>43960</v>
      </c>
      <c r="H39" s="9">
        <f t="shared" si="40"/>
        <v>87022</v>
      </c>
      <c r="I39" s="9">
        <f t="shared" si="40"/>
        <v>20975</v>
      </c>
      <c r="J39" s="9"/>
      <c r="K39" s="9"/>
      <c r="L39" s="9"/>
      <c r="M39" s="9"/>
      <c r="O39" s="8">
        <f t="shared" si="29"/>
        <v>45863</v>
      </c>
      <c r="P39" s="9">
        <f t="shared" si="36"/>
        <v>2456.1</v>
      </c>
      <c r="Q39" s="9">
        <f t="shared" si="37"/>
        <v>7368.2999999999993</v>
      </c>
      <c r="R39" s="9">
        <f t="shared" si="30"/>
        <v>17192.7</v>
      </c>
      <c r="S39" s="9">
        <f t="shared" si="34"/>
        <v>24561</v>
      </c>
      <c r="T39" s="9">
        <f t="shared" si="31"/>
        <v>2320</v>
      </c>
      <c r="U39" s="9">
        <f t="shared" si="32"/>
        <v>22241</v>
      </c>
      <c r="V39" s="9">
        <f t="shared" si="33"/>
        <v>1305</v>
      </c>
    </row>
    <row r="40" spans="1:22" x14ac:dyDescent="0.35">
      <c r="A40" s="20" t="str">
        <f>CONCATENATE(TEXT(O25,"DD-MMM-YYY")," to ",TEXT(O31,"DD-MMM-YYYY"))</f>
        <v>15-Jul-2025 to 21-Jul-2025</v>
      </c>
      <c r="B40" s="11">
        <f t="shared" si="38"/>
        <v>18538.400000000001</v>
      </c>
      <c r="C40" s="11">
        <f t="shared" si="39"/>
        <v>9269.1999999999989</v>
      </c>
      <c r="D40" s="11">
        <f>Q32</f>
        <v>27807.599999999999</v>
      </c>
      <c r="E40" s="11">
        <f t="shared" ref="E40:I40" si="41">R32</f>
        <v>64884.399999999994</v>
      </c>
      <c r="F40" s="11">
        <f t="shared" si="41"/>
        <v>92692</v>
      </c>
      <c r="G40" s="11">
        <f t="shared" si="41"/>
        <v>25995</v>
      </c>
      <c r="H40" s="11">
        <f t="shared" si="41"/>
        <v>66697</v>
      </c>
      <c r="I40" s="11">
        <f t="shared" si="41"/>
        <v>7515</v>
      </c>
      <c r="J40" s="11"/>
      <c r="K40" s="11"/>
      <c r="L40" s="11"/>
      <c r="M40" s="11"/>
      <c r="O40" s="10">
        <f t="shared" si="29"/>
        <v>45864</v>
      </c>
      <c r="P40" s="11">
        <f t="shared" si="36"/>
        <v>1644</v>
      </c>
      <c r="Q40" s="11">
        <f t="shared" si="37"/>
        <v>4932</v>
      </c>
      <c r="R40" s="11">
        <f t="shared" si="30"/>
        <v>11508</v>
      </c>
      <c r="S40" s="11">
        <f t="shared" si="34"/>
        <v>16440</v>
      </c>
      <c r="T40" s="11">
        <f t="shared" si="31"/>
        <v>3750</v>
      </c>
      <c r="U40" s="11">
        <f t="shared" si="32"/>
        <v>12690</v>
      </c>
      <c r="V40" s="11">
        <f t="shared" si="33"/>
        <v>5070</v>
      </c>
    </row>
    <row r="41" spans="1:22" x14ac:dyDescent="0.35">
      <c r="A41" s="20" t="str">
        <f>CONCATENATE(TEXT(O36,"DD-MMM-YYY")," to ",TEXT(O41,"DD-MMM-YYYY"))</f>
        <v>22-Jul-2025 to 31-Jul-2025</v>
      </c>
      <c r="B41" s="9">
        <f t="shared" si="38"/>
        <v>20078</v>
      </c>
      <c r="C41" s="9">
        <f t="shared" si="39"/>
        <v>10039</v>
      </c>
      <c r="D41" s="9">
        <f>Q42</f>
        <v>30117</v>
      </c>
      <c r="E41" s="9">
        <f t="shared" ref="E41:I41" si="42">R42</f>
        <v>70273</v>
      </c>
      <c r="F41" s="9">
        <f t="shared" si="42"/>
        <v>100390</v>
      </c>
      <c r="G41" s="9">
        <f t="shared" si="42"/>
        <v>9490</v>
      </c>
      <c r="H41" s="9">
        <f t="shared" si="42"/>
        <v>90900</v>
      </c>
      <c r="I41" s="9">
        <f t="shared" si="42"/>
        <v>13310</v>
      </c>
      <c r="J41" s="9"/>
      <c r="K41" s="9"/>
      <c r="L41" s="9"/>
      <c r="M41" s="9"/>
      <c r="O41" s="8">
        <f>A33</f>
        <v>45869</v>
      </c>
      <c r="P41" s="9">
        <f t="shared" si="36"/>
        <v>2321.9</v>
      </c>
      <c r="Q41" s="9">
        <f t="shared" si="37"/>
        <v>6965.7</v>
      </c>
      <c r="R41" s="9">
        <f t="shared" si="30"/>
        <v>16253.3</v>
      </c>
      <c r="S41" s="9">
        <f t="shared" si="34"/>
        <v>23219</v>
      </c>
      <c r="T41" s="9">
        <f t="shared" si="31"/>
        <v>880</v>
      </c>
      <c r="U41" s="9">
        <f t="shared" si="32"/>
        <v>22339</v>
      </c>
      <c r="V41" s="9">
        <f t="shared" si="33"/>
        <v>120</v>
      </c>
    </row>
    <row r="42" spans="1:22" x14ac:dyDescent="0.35">
      <c r="A42" s="20" t="str">
        <f>CONCATENATE(TEXT(O3,"DD-MMM-YYY")," to ",TEXT(O41,"DD-MMM-YYYY"))</f>
        <v>01-Jul-2025 to 31-Jul-2025</v>
      </c>
      <c r="B42" s="9">
        <f t="shared" si="38"/>
        <v>78160.799999999988</v>
      </c>
      <c r="C42" s="9">
        <f t="shared" si="39"/>
        <v>39080.400000000001</v>
      </c>
      <c r="D42" s="9">
        <f t="shared" ref="D42:I42" si="43">SUM(D38:D41)</f>
        <v>117241.2</v>
      </c>
      <c r="E42" s="9">
        <f t="shared" si="43"/>
        <v>273562.8</v>
      </c>
      <c r="F42" s="9">
        <f t="shared" si="43"/>
        <v>390804</v>
      </c>
      <c r="G42" s="9">
        <f t="shared" si="43"/>
        <v>100765</v>
      </c>
      <c r="H42" s="9">
        <f t="shared" si="43"/>
        <v>290039</v>
      </c>
      <c r="I42" s="9">
        <f t="shared" si="43"/>
        <v>70584</v>
      </c>
      <c r="J42" s="9"/>
      <c r="K42" s="9"/>
      <c r="L42" s="9"/>
      <c r="M42" s="9"/>
      <c r="O42" s="12" t="s">
        <v>3</v>
      </c>
      <c r="P42" s="12">
        <f t="shared" ref="P42:V42" si="44">SUM(P36:P41)</f>
        <v>10039</v>
      </c>
      <c r="Q42" s="11">
        <f t="shared" si="44"/>
        <v>30117</v>
      </c>
      <c r="R42" s="9">
        <f t="shared" si="44"/>
        <v>70273</v>
      </c>
      <c r="S42" s="9">
        <f t="shared" si="44"/>
        <v>100390</v>
      </c>
      <c r="T42" s="9">
        <f t="shared" si="44"/>
        <v>9490</v>
      </c>
      <c r="U42" s="9">
        <f t="shared" si="44"/>
        <v>90900</v>
      </c>
      <c r="V42" s="9">
        <f t="shared" si="44"/>
        <v>13310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10039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45843</v>
      </c>
      <c r="P47" s="9"/>
      <c r="Q47" s="9">
        <f t="shared" ref="Q47:V47" si="45">SUM(D8:D33)</f>
        <v>122197.2</v>
      </c>
      <c r="R47" s="9">
        <f t="shared" si="45"/>
        <v>285126.8</v>
      </c>
      <c r="S47" s="9">
        <f t="shared" si="45"/>
        <v>407324</v>
      </c>
      <c r="T47" s="9">
        <f t="shared" si="45"/>
        <v>116825</v>
      </c>
      <c r="U47" s="9">
        <f t="shared" si="45"/>
        <v>290499</v>
      </c>
      <c r="V47" s="9">
        <f t="shared" si="45"/>
        <v>63910</v>
      </c>
    </row>
    <row r="48" spans="1:22" x14ac:dyDescent="0.35">
      <c r="O48" s="12" t="s">
        <v>7</v>
      </c>
      <c r="P48" s="11"/>
      <c r="Q48" s="11">
        <f>Q47/3</f>
        <v>40732.400000000001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5A88-D5D0-4F35-B1AD-18FA61ADCA56}">
  <dimension ref="A1:K228"/>
  <sheetViews>
    <sheetView zoomScale="126" workbookViewId="0">
      <selection activeCell="D2" sqref="D2"/>
    </sheetView>
  </sheetViews>
  <sheetFormatPr defaultRowHeight="14.5" x14ac:dyDescent="0.35"/>
  <cols>
    <col min="1" max="1" width="23.72656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1.6328125" style="26" bestFit="1" customWidth="1"/>
    <col min="9" max="9" width="11.1796875" bestFit="1" customWidth="1"/>
    <col min="10" max="10" width="11.36328125" bestFit="1" customWidth="1"/>
    <col min="11" max="11" width="21.45312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65" t="s">
        <v>193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45839</v>
      </c>
      <c r="B2" s="23">
        <v>1000</v>
      </c>
      <c r="C2" s="23"/>
      <c r="D2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2" s="106" t="s">
        <v>69</v>
      </c>
      <c r="F2" s="36" t="s">
        <v>69</v>
      </c>
      <c r="H2" s="26" t="s">
        <v>72</v>
      </c>
      <c r="I2">
        <v>0</v>
      </c>
    </row>
    <row r="3" spans="1:11" x14ac:dyDescent="0.35">
      <c r="A3" s="35">
        <v>45839</v>
      </c>
      <c r="B3" s="23">
        <v>50</v>
      </c>
      <c r="C3" s="23"/>
      <c r="D3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3" s="22" t="s">
        <v>26</v>
      </c>
      <c r="F3" s="36" t="s">
        <v>48</v>
      </c>
      <c r="H3" s="26">
        <v>45839</v>
      </c>
      <c r="I3">
        <v>1050</v>
      </c>
      <c r="J3">
        <v>1050</v>
      </c>
    </row>
    <row r="4" spans="1:11" x14ac:dyDescent="0.35">
      <c r="A4" s="35">
        <v>45840</v>
      </c>
      <c r="B4" s="23">
        <v>50</v>
      </c>
      <c r="C4" s="23"/>
      <c r="D4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4" s="22" t="s">
        <v>26</v>
      </c>
      <c r="F4" s="36" t="s">
        <v>48</v>
      </c>
      <c r="H4" s="26">
        <v>45840</v>
      </c>
      <c r="I4">
        <v>50</v>
      </c>
      <c r="J4">
        <v>50</v>
      </c>
    </row>
    <row r="5" spans="1:11" x14ac:dyDescent="0.35">
      <c r="A5" s="35">
        <v>45841</v>
      </c>
      <c r="B5" s="23">
        <v>60</v>
      </c>
      <c r="C5" s="23"/>
      <c r="D5" s="23">
        <f>Table23453456879111215141617181920212223242526272834567891011345678910111235111314[[#This Row],[Cash]]+Table23453456879111215141617181920212223242526272834567891011345678910111235111314[[#This Row],[Account Transfer]]</f>
        <v>60</v>
      </c>
      <c r="E5" s="22" t="s">
        <v>26</v>
      </c>
      <c r="F5" s="36" t="s">
        <v>48</v>
      </c>
      <c r="H5" s="26">
        <v>45841</v>
      </c>
      <c r="I5">
        <v>16694</v>
      </c>
      <c r="J5">
        <v>16694</v>
      </c>
    </row>
    <row r="6" spans="1:11" x14ac:dyDescent="0.35">
      <c r="A6" s="35">
        <v>45841</v>
      </c>
      <c r="B6" s="23">
        <v>134</v>
      </c>
      <c r="C6" s="23"/>
      <c r="D6" s="23">
        <f>Table23453456879111215141617181920212223242526272834567891011345678910111235111314[[#This Row],[Cash]]+Table23453456879111215141617181920212223242526272834567891011345678910111235111314[[#This Row],[Account Transfer]]</f>
        <v>134</v>
      </c>
      <c r="E6" s="22" t="s">
        <v>129</v>
      </c>
      <c r="F6" s="36" t="s">
        <v>42</v>
      </c>
      <c r="H6" s="26">
        <v>45842</v>
      </c>
      <c r="I6">
        <v>1050</v>
      </c>
      <c r="J6">
        <v>1050</v>
      </c>
    </row>
    <row r="7" spans="1:11" x14ac:dyDescent="0.35">
      <c r="A7" s="35">
        <v>45841</v>
      </c>
      <c r="B7" s="23">
        <v>1000</v>
      </c>
      <c r="C7" s="23"/>
      <c r="D7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7" s="22" t="s">
        <v>69</v>
      </c>
      <c r="F7" s="36" t="s">
        <v>69</v>
      </c>
      <c r="H7" s="26">
        <v>45843</v>
      </c>
      <c r="I7">
        <v>1020</v>
      </c>
      <c r="J7">
        <v>1020</v>
      </c>
    </row>
    <row r="8" spans="1:11" x14ac:dyDescent="0.35">
      <c r="A8" s="35">
        <v>45841</v>
      </c>
      <c r="B8" s="23">
        <v>500</v>
      </c>
      <c r="C8" s="23"/>
      <c r="D8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8" s="22" t="s">
        <v>317</v>
      </c>
      <c r="F8" s="36" t="s">
        <v>48</v>
      </c>
      <c r="H8" s="26">
        <v>45844</v>
      </c>
      <c r="I8">
        <v>1420</v>
      </c>
      <c r="J8">
        <v>1420</v>
      </c>
    </row>
    <row r="9" spans="1:11" x14ac:dyDescent="0.35">
      <c r="A9" s="35">
        <v>45841</v>
      </c>
      <c r="B9" s="23">
        <v>15000</v>
      </c>
      <c r="C9" s="23"/>
      <c r="D9" s="23">
        <f>Table23453456879111215141617181920212223242526272834567891011345678910111235111314[[#This Row],[Cash]]+Table23453456879111215141617181920212223242526272834567891011345678910111235111314[[#This Row],[Account Transfer]]</f>
        <v>15000</v>
      </c>
      <c r="E9" s="22" t="s">
        <v>318</v>
      </c>
      <c r="F9" s="36" t="s">
        <v>45</v>
      </c>
      <c r="H9" s="26">
        <v>45845</v>
      </c>
      <c r="I9">
        <v>14700</v>
      </c>
      <c r="J9">
        <v>7500</v>
      </c>
      <c r="K9">
        <v>7200</v>
      </c>
    </row>
    <row r="10" spans="1:11" x14ac:dyDescent="0.35">
      <c r="A10" s="35">
        <v>45842</v>
      </c>
      <c r="B10" s="23">
        <v>1000</v>
      </c>
      <c r="C10" s="23"/>
      <c r="D10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0" s="22" t="s">
        <v>69</v>
      </c>
      <c r="F10" s="36" t="s">
        <v>69</v>
      </c>
      <c r="H10" s="26">
        <v>45846</v>
      </c>
      <c r="I10">
        <v>1590</v>
      </c>
      <c r="J10">
        <v>1590</v>
      </c>
    </row>
    <row r="11" spans="1:11" x14ac:dyDescent="0.35">
      <c r="A11" s="35">
        <v>45842</v>
      </c>
      <c r="B11" s="23">
        <v>50</v>
      </c>
      <c r="C11" s="23"/>
      <c r="D11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11" s="22" t="s">
        <v>39</v>
      </c>
      <c r="F11" s="36" t="s">
        <v>48</v>
      </c>
      <c r="H11" s="26">
        <v>45847</v>
      </c>
      <c r="I11">
        <v>3765</v>
      </c>
      <c r="J11">
        <v>10000</v>
      </c>
      <c r="K11">
        <v>5200</v>
      </c>
    </row>
    <row r="12" spans="1:11" x14ac:dyDescent="0.35">
      <c r="A12" s="35">
        <v>45843</v>
      </c>
      <c r="B12" s="23">
        <v>1000</v>
      </c>
      <c r="C12" s="23"/>
      <c r="D12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2" s="22" t="s">
        <v>69</v>
      </c>
      <c r="F12" s="36" t="s">
        <v>69</v>
      </c>
      <c r="H12" s="26">
        <v>45848</v>
      </c>
      <c r="I12">
        <v>620</v>
      </c>
      <c r="J12">
        <v>620</v>
      </c>
    </row>
    <row r="13" spans="1:11" x14ac:dyDescent="0.35">
      <c r="A13" s="35">
        <v>45843</v>
      </c>
      <c r="B13" s="23">
        <v>20</v>
      </c>
      <c r="C13" s="23"/>
      <c r="D13" s="23">
        <f>Table23453456879111215141617181920212223242526272834567891011345678910111235111314[[#This Row],[Cash]]+Table23453456879111215141617181920212223242526272834567891011345678910111235111314[[#This Row],[Account Transfer]]</f>
        <v>20</v>
      </c>
      <c r="E13" s="22" t="s">
        <v>26</v>
      </c>
      <c r="F13" s="36" t="s">
        <v>48</v>
      </c>
      <c r="H13" s="26">
        <v>45849</v>
      </c>
      <c r="I13">
        <v>23910</v>
      </c>
      <c r="J13">
        <v>2560</v>
      </c>
      <c r="K13">
        <v>21350</v>
      </c>
    </row>
    <row r="14" spans="1:11" x14ac:dyDescent="0.35">
      <c r="A14" s="35">
        <v>45844</v>
      </c>
      <c r="B14" s="23">
        <v>200</v>
      </c>
      <c r="C14" s="23"/>
      <c r="D14" s="23">
        <f>Table23453456879111215141617181920212223242526272834567891011345678910111235111314[[#This Row],[Cash]]+Table23453456879111215141617181920212223242526272834567891011345678910111235111314[[#This Row],[Account Transfer]]</f>
        <v>200</v>
      </c>
      <c r="E14" s="22" t="s">
        <v>320</v>
      </c>
      <c r="F14" s="36" t="s">
        <v>42</v>
      </c>
      <c r="H14" s="26">
        <v>45850</v>
      </c>
      <c r="I14">
        <v>520</v>
      </c>
      <c r="J14">
        <v>520</v>
      </c>
    </row>
    <row r="15" spans="1:11" x14ac:dyDescent="0.35">
      <c r="A15" s="35">
        <v>45844</v>
      </c>
      <c r="B15" s="23">
        <v>200</v>
      </c>
      <c r="C15" s="23"/>
      <c r="D15" s="23">
        <f>Table23453456879111215141617181920212223242526272834567891011345678910111235111314[[#This Row],[Cash]]+Table23453456879111215141617181920212223242526272834567891011345678910111235111314[[#This Row],[Account Transfer]]</f>
        <v>200</v>
      </c>
      <c r="E15" s="22" t="s">
        <v>219</v>
      </c>
      <c r="F15" s="36" t="s">
        <v>48</v>
      </c>
      <c r="H15" s="26">
        <v>45851</v>
      </c>
      <c r="I15">
        <v>2735</v>
      </c>
      <c r="J15">
        <v>2735</v>
      </c>
    </row>
    <row r="16" spans="1:11" x14ac:dyDescent="0.35">
      <c r="A16" s="35">
        <v>45844</v>
      </c>
      <c r="B16" s="23">
        <v>1000</v>
      </c>
      <c r="C16" s="23"/>
      <c r="D16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6" s="22" t="s">
        <v>321</v>
      </c>
      <c r="F16" s="36" t="s">
        <v>48</v>
      </c>
      <c r="H16" s="26">
        <v>45852</v>
      </c>
      <c r="I16">
        <v>3236</v>
      </c>
      <c r="J16">
        <v>2950</v>
      </c>
      <c r="K16">
        <v>286</v>
      </c>
    </row>
    <row r="17" spans="1:11" x14ac:dyDescent="0.35">
      <c r="A17" s="35">
        <v>45844</v>
      </c>
      <c r="B17" s="23">
        <v>20</v>
      </c>
      <c r="C17" s="23"/>
      <c r="D17" s="23">
        <f>Table23453456879111215141617181920212223242526272834567891011345678910111235111314[[#This Row],[Cash]]+Table23453456879111215141617181920212223242526272834567891011345678910111235111314[[#This Row],[Account Transfer]]</f>
        <v>20</v>
      </c>
      <c r="E17" s="22" t="s">
        <v>26</v>
      </c>
      <c r="F17" s="36" t="s">
        <v>48</v>
      </c>
      <c r="H17" s="26">
        <v>45853</v>
      </c>
      <c r="I17">
        <v>840</v>
      </c>
      <c r="J17">
        <v>840</v>
      </c>
    </row>
    <row r="18" spans="1:11" x14ac:dyDescent="0.35">
      <c r="A18" s="35">
        <v>45845</v>
      </c>
      <c r="B18" s="23">
        <v>2200</v>
      </c>
      <c r="C18" s="23"/>
      <c r="D18" s="23">
        <f>Table23453456879111215141617181920212223242526272834567891011345678910111235111314[[#This Row],[Cash]]+Table23453456879111215141617181920212223242526272834567891011345678910111235111314[[#This Row],[Account Transfer]]</f>
        <v>2200</v>
      </c>
      <c r="E18" s="22" t="s">
        <v>78</v>
      </c>
      <c r="F18" s="36" t="s">
        <v>48</v>
      </c>
      <c r="H18" s="26">
        <v>45854</v>
      </c>
      <c r="I18">
        <v>1220</v>
      </c>
      <c r="J18">
        <v>1220</v>
      </c>
    </row>
    <row r="19" spans="1:11" x14ac:dyDescent="0.35">
      <c r="A19" s="35">
        <v>45845</v>
      </c>
      <c r="B19" s="23">
        <v>300</v>
      </c>
      <c r="C19" s="23"/>
      <c r="D19" s="23">
        <f>Table23453456879111215141617181920212223242526272834567891011345678910111235111314[[#This Row],[Cash]]+Table23453456879111215141617181920212223242526272834567891011345678910111235111314[[#This Row],[Account Transfer]]</f>
        <v>300</v>
      </c>
      <c r="E19" s="22" t="s">
        <v>78</v>
      </c>
      <c r="F19" s="36" t="s">
        <v>48</v>
      </c>
      <c r="H19" s="26">
        <v>45855</v>
      </c>
      <c r="I19">
        <v>850</v>
      </c>
      <c r="J19">
        <v>850</v>
      </c>
    </row>
    <row r="20" spans="1:11" x14ac:dyDescent="0.35">
      <c r="A20" s="35">
        <v>45845</v>
      </c>
      <c r="B20" s="23">
        <v>1000</v>
      </c>
      <c r="C20" s="23"/>
      <c r="D20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20" s="22" t="s">
        <v>69</v>
      </c>
      <c r="F20" s="36" t="s">
        <v>69</v>
      </c>
      <c r="H20" s="26">
        <v>45856</v>
      </c>
      <c r="I20">
        <v>1400</v>
      </c>
      <c r="J20">
        <v>1400</v>
      </c>
    </row>
    <row r="21" spans="1:11" x14ac:dyDescent="0.35">
      <c r="A21" s="35">
        <v>45845</v>
      </c>
      <c r="B21" s="23">
        <v>4000</v>
      </c>
      <c r="C21" s="23"/>
      <c r="D21" s="23">
        <f>Table23453456879111215141617181920212223242526272834567891011345678910111235111314[[#This Row],[Cash]]+Table23453456879111215141617181920212223242526272834567891011345678910111235111314[[#This Row],[Account Transfer]]</f>
        <v>4000</v>
      </c>
      <c r="E21" s="22" t="s">
        <v>28</v>
      </c>
      <c r="F21" s="36" t="s">
        <v>51</v>
      </c>
      <c r="H21" s="26">
        <v>45857</v>
      </c>
      <c r="I21">
        <v>1035</v>
      </c>
      <c r="J21">
        <v>1035</v>
      </c>
    </row>
    <row r="22" spans="1:11" x14ac:dyDescent="0.35">
      <c r="A22" s="35">
        <v>45845</v>
      </c>
      <c r="B22" s="23"/>
      <c r="C22" s="23">
        <v>6400</v>
      </c>
      <c r="D22" s="23">
        <f>Table23453456879111215141617181920212223242526272834567891011345678910111235111314[[#This Row],[Cash]]+Table23453456879111215141617181920212223242526272834567891011345678910111235111314[[#This Row],[Account Transfer]]</f>
        <v>6400</v>
      </c>
      <c r="E22" s="22" t="s">
        <v>81</v>
      </c>
      <c r="F22" s="36" t="s">
        <v>51</v>
      </c>
      <c r="H22" s="26">
        <v>45858</v>
      </c>
      <c r="I22">
        <v>62740</v>
      </c>
      <c r="J22">
        <v>1640</v>
      </c>
      <c r="K22">
        <v>61100</v>
      </c>
    </row>
    <row r="23" spans="1:11" x14ac:dyDescent="0.35">
      <c r="A23" s="35">
        <v>45845</v>
      </c>
      <c r="B23" s="23"/>
      <c r="C23" s="23">
        <v>800</v>
      </c>
      <c r="D23" s="23">
        <f>Table23453456879111215141617181920212223242526272834567891011345678910111235111314[[#This Row],[Cash]]+Table23453456879111215141617181920212223242526272834567891011345678910111235111314[[#This Row],[Account Transfer]]</f>
        <v>800</v>
      </c>
      <c r="E23" s="22" t="s">
        <v>219</v>
      </c>
      <c r="F23" s="36" t="s">
        <v>46</v>
      </c>
      <c r="H23" s="26">
        <v>45859</v>
      </c>
      <c r="I23">
        <v>530</v>
      </c>
      <c r="J23">
        <v>530</v>
      </c>
    </row>
    <row r="24" spans="1:11" x14ac:dyDescent="0.35">
      <c r="A24" s="35">
        <v>45846</v>
      </c>
      <c r="B24" s="23">
        <v>1000</v>
      </c>
      <c r="C24" s="23"/>
      <c r="D24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24" s="22" t="s">
        <v>78</v>
      </c>
      <c r="F24" s="36" t="s">
        <v>48</v>
      </c>
      <c r="H24" s="26">
        <v>45860</v>
      </c>
      <c r="I24">
        <v>74250</v>
      </c>
      <c r="J24">
        <v>1150</v>
      </c>
      <c r="K24">
        <v>73100</v>
      </c>
    </row>
    <row r="25" spans="1:11" x14ac:dyDescent="0.35">
      <c r="A25" s="35">
        <v>45846</v>
      </c>
      <c r="B25" s="23">
        <v>500</v>
      </c>
      <c r="C25" s="23"/>
      <c r="D25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25" s="22" t="s">
        <v>321</v>
      </c>
      <c r="F25" s="36" t="s">
        <v>48</v>
      </c>
      <c r="H25" s="26">
        <v>45861</v>
      </c>
      <c r="I25">
        <v>5995</v>
      </c>
      <c r="J25">
        <v>1945</v>
      </c>
      <c r="K25">
        <v>4050</v>
      </c>
    </row>
    <row r="26" spans="1:11" x14ac:dyDescent="0.35">
      <c r="A26" s="35">
        <v>45846</v>
      </c>
      <c r="B26" s="23">
        <v>90</v>
      </c>
      <c r="C26" s="23"/>
      <c r="D26" s="23">
        <f>Table23453456879111215141617181920212223242526272834567891011345678910111235111314[[#This Row],[Cash]]+Table23453456879111215141617181920212223242526272834567891011345678910111235111314[[#This Row],[Account Transfer]]</f>
        <v>90</v>
      </c>
      <c r="E26" s="22" t="s">
        <v>26</v>
      </c>
      <c r="F26" s="36" t="s">
        <v>48</v>
      </c>
      <c r="H26" s="26">
        <v>45862</v>
      </c>
      <c r="I26">
        <v>3720</v>
      </c>
      <c r="J26">
        <v>3720</v>
      </c>
    </row>
    <row r="27" spans="1:11" x14ac:dyDescent="0.35">
      <c r="A27" s="35">
        <v>45847</v>
      </c>
      <c r="B27" s="23"/>
      <c r="C27" s="23">
        <v>200</v>
      </c>
      <c r="D27" s="23">
        <f>Table23453456879111215141617181920212223242526272834567891011345678910111235[[#This Row],[Cash]]+Table23453456879111215141617181920212223242526272834567891011345678910111235[[#This Row],[Account Transfer]]</f>
        <v>1300</v>
      </c>
      <c r="E27" s="22" t="s">
        <v>28</v>
      </c>
      <c r="F27" s="36" t="s">
        <v>51</v>
      </c>
      <c r="H27" s="26">
        <v>45863</v>
      </c>
      <c r="I27">
        <v>4205</v>
      </c>
      <c r="J27">
        <v>1305</v>
      </c>
      <c r="K27">
        <v>2900</v>
      </c>
    </row>
    <row r="28" spans="1:11" x14ac:dyDescent="0.35">
      <c r="A28" s="35">
        <v>45847</v>
      </c>
      <c r="B28" s="23">
        <v>8000</v>
      </c>
      <c r="C28" s="23"/>
      <c r="D28" s="23">
        <f>Table23453456879111215141617181920212223242526272834567891011345678910111235[[#This Row],[Cash]]+Table23453456879111215141617181920212223242526272834567891011345678910111235[[#This Row],[Account Transfer]]</f>
        <v>300</v>
      </c>
      <c r="E28" s="22" t="s">
        <v>326</v>
      </c>
      <c r="F28" s="36" t="s">
        <v>51</v>
      </c>
      <c r="H28" s="26">
        <v>45864</v>
      </c>
      <c r="I28">
        <v>10370</v>
      </c>
      <c r="J28">
        <v>5070</v>
      </c>
      <c r="K28">
        <v>5300</v>
      </c>
    </row>
    <row r="29" spans="1:11" x14ac:dyDescent="0.35">
      <c r="A29" s="35">
        <v>45847</v>
      </c>
      <c r="B29" s="23"/>
      <c r="C29" s="23">
        <v>5000</v>
      </c>
      <c r="D29" s="23">
        <f>Table23453456879111215141617181920212223242526272834567891011345678910111235[[#This Row],[Cash]]+Table23453456879111215141617181920212223242526272834567891011345678910111235[[#This Row],[Account Transfer]]</f>
        <v>165</v>
      </c>
      <c r="E29" s="22" t="s">
        <v>327</v>
      </c>
      <c r="F29" s="36" t="s">
        <v>51</v>
      </c>
      <c r="H29" s="26">
        <v>45865</v>
      </c>
      <c r="I29">
        <v>1170</v>
      </c>
      <c r="J29">
        <v>1170</v>
      </c>
    </row>
    <row r="30" spans="1:11" x14ac:dyDescent="0.35">
      <c r="A30" s="35">
        <v>45847</v>
      </c>
      <c r="B30" s="23">
        <v>1000</v>
      </c>
      <c r="C30" s="23"/>
      <c r="D30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30" s="22" t="s">
        <v>69</v>
      </c>
      <c r="F30" s="36" t="s">
        <v>69</v>
      </c>
      <c r="H30" s="26">
        <v>45866</v>
      </c>
      <c r="I30">
        <v>1270</v>
      </c>
      <c r="J30">
        <v>1270</v>
      </c>
    </row>
    <row r="31" spans="1:11" x14ac:dyDescent="0.35">
      <c r="A31" s="35">
        <v>45847</v>
      </c>
      <c r="B31" s="23">
        <v>1000</v>
      </c>
      <c r="C31" s="23"/>
      <c r="D31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31" s="22" t="s">
        <v>69</v>
      </c>
      <c r="F31" s="36" t="s">
        <v>69</v>
      </c>
      <c r="H31" s="26">
        <v>45867</v>
      </c>
      <c r="I31">
        <v>10580</v>
      </c>
      <c r="J31">
        <v>10580</v>
      </c>
    </row>
    <row r="32" spans="1:11" x14ac:dyDescent="0.35">
      <c r="A32" s="35">
        <v>45848</v>
      </c>
      <c r="B32" s="23">
        <v>500</v>
      </c>
      <c r="C32" s="23"/>
      <c r="D32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32" s="22" t="s">
        <v>321</v>
      </c>
      <c r="F32" s="36" t="s">
        <v>48</v>
      </c>
      <c r="H32" s="26">
        <v>45868</v>
      </c>
      <c r="I32">
        <v>4970</v>
      </c>
      <c r="J32">
        <v>170</v>
      </c>
      <c r="K32">
        <v>4800</v>
      </c>
    </row>
    <row r="33" spans="1:11" x14ac:dyDescent="0.35">
      <c r="A33" s="35">
        <v>45848</v>
      </c>
      <c r="B33" s="23">
        <v>120</v>
      </c>
      <c r="C33" s="23"/>
      <c r="D33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33" s="22" t="s">
        <v>26</v>
      </c>
      <c r="F33" s="36" t="s">
        <v>48</v>
      </c>
      <c r="H33" s="26">
        <v>45869</v>
      </c>
      <c r="I33">
        <v>120</v>
      </c>
      <c r="J33">
        <v>120</v>
      </c>
    </row>
    <row r="34" spans="1:11" x14ac:dyDescent="0.35">
      <c r="A34" s="35">
        <v>45849</v>
      </c>
      <c r="B34" s="23"/>
      <c r="C34" s="23">
        <v>1000</v>
      </c>
      <c r="D34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34" s="22" t="s">
        <v>322</v>
      </c>
      <c r="F34" s="36" t="s">
        <v>48</v>
      </c>
      <c r="H34" s="26" t="s">
        <v>35</v>
      </c>
      <c r="I34">
        <v>257625</v>
      </c>
      <c r="J34">
        <v>83774</v>
      </c>
      <c r="K34">
        <v>185286</v>
      </c>
    </row>
    <row r="35" spans="1:11" x14ac:dyDescent="0.35">
      <c r="A35" s="35">
        <v>45849</v>
      </c>
      <c r="B35" s="23"/>
      <c r="C35" s="23">
        <v>20000</v>
      </c>
      <c r="D35" s="23">
        <f>Table23453456879111215141617181920212223242526272834567891011345678910111235111314[[#This Row],[Cash]]+Table23453456879111215141617181920212223242526272834567891011345678910111235111314[[#This Row],[Account Transfer]]</f>
        <v>20000</v>
      </c>
      <c r="E35" s="22" t="s">
        <v>323</v>
      </c>
      <c r="F35" s="36" t="s">
        <v>45</v>
      </c>
    </row>
    <row r="36" spans="1:11" x14ac:dyDescent="0.35">
      <c r="A36" s="35">
        <v>45849</v>
      </c>
      <c r="B36" s="23"/>
      <c r="C36" s="23">
        <v>350</v>
      </c>
      <c r="D36" s="23">
        <f>Table23453456879111215141617181920212223242526272834567891011345678910111235111314[[#This Row],[Cash]]+Table23453456879111215141617181920212223242526272834567891011345678910111235111314[[#This Row],[Account Transfer]]</f>
        <v>350</v>
      </c>
      <c r="E36" s="22" t="s">
        <v>324</v>
      </c>
      <c r="F36" s="36" t="s">
        <v>45</v>
      </c>
    </row>
    <row r="37" spans="1:11" x14ac:dyDescent="0.35">
      <c r="A37" s="35">
        <v>45849</v>
      </c>
      <c r="B37" s="23">
        <v>1000</v>
      </c>
      <c r="C37" s="23"/>
      <c r="D37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37" s="22" t="s">
        <v>325</v>
      </c>
      <c r="F37" s="36" t="s">
        <v>48</v>
      </c>
    </row>
    <row r="38" spans="1:11" x14ac:dyDescent="0.35">
      <c r="A38" s="35">
        <v>45849</v>
      </c>
      <c r="B38" s="23">
        <v>120</v>
      </c>
      <c r="C38" s="23"/>
      <c r="D38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38" s="22" t="s">
        <v>129</v>
      </c>
      <c r="F38" s="36" t="s">
        <v>42</v>
      </c>
    </row>
    <row r="39" spans="1:11" x14ac:dyDescent="0.35">
      <c r="A39" s="35">
        <v>45849</v>
      </c>
      <c r="B39" s="23">
        <v>290</v>
      </c>
      <c r="C39" s="23"/>
      <c r="D39" s="23">
        <f>Table23453456879111215141617181920212223242526272834567891011345678910111235111314[[#This Row],[Cash]]+Table23453456879111215141617181920212223242526272834567891011345678910111235111314[[#This Row],[Account Transfer]]</f>
        <v>290</v>
      </c>
      <c r="E39" s="22" t="s">
        <v>219</v>
      </c>
      <c r="F39" s="36" t="s">
        <v>48</v>
      </c>
    </row>
    <row r="40" spans="1:11" x14ac:dyDescent="0.35">
      <c r="A40" s="35">
        <v>45849</v>
      </c>
      <c r="B40" s="23">
        <v>50</v>
      </c>
      <c r="C40" s="23"/>
      <c r="D40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40" s="22" t="s">
        <v>129</v>
      </c>
      <c r="F40" s="36" t="s">
        <v>42</v>
      </c>
    </row>
    <row r="41" spans="1:11" x14ac:dyDescent="0.35">
      <c r="A41" s="35">
        <v>45849</v>
      </c>
      <c r="B41" s="23">
        <v>800</v>
      </c>
      <c r="C41" s="23"/>
      <c r="D41" s="23">
        <f>Table23453456879111215141617181920212223242526272834567891011345678910111235111314[[#This Row],[Cash]]+Table23453456879111215141617181920212223242526272834567891011345678910111235111314[[#This Row],[Account Transfer]]</f>
        <v>800</v>
      </c>
      <c r="E41" s="22" t="s">
        <v>219</v>
      </c>
      <c r="F41" s="36" t="s">
        <v>48</v>
      </c>
    </row>
    <row r="42" spans="1:11" x14ac:dyDescent="0.35">
      <c r="A42" s="35">
        <v>45849</v>
      </c>
      <c r="B42" s="23">
        <v>300</v>
      </c>
      <c r="C42" s="23"/>
      <c r="D42" s="23">
        <f>Table23453456879111215141617181920212223242526272834567891011345678910111235111314[[#This Row],[Cash]]+Table23453456879111215141617181920212223242526272834567891011345678910111235111314[[#This Row],[Account Transfer]]</f>
        <v>300</v>
      </c>
      <c r="E42" s="22" t="s">
        <v>26</v>
      </c>
      <c r="F42" s="36" t="s">
        <v>48</v>
      </c>
    </row>
    <row r="43" spans="1:11" x14ac:dyDescent="0.35">
      <c r="A43" s="35">
        <v>45850</v>
      </c>
      <c r="B43" s="23">
        <v>200</v>
      </c>
      <c r="C43" s="23"/>
      <c r="D43" s="23">
        <f>Table23453456879111215141617181920212223242526272834567891011345678910111235111314[[#This Row],[Cash]]+Table23453456879111215141617181920212223242526272834567891011345678910111235111314[[#This Row],[Account Transfer]]</f>
        <v>200</v>
      </c>
      <c r="E43" s="22" t="s">
        <v>129</v>
      </c>
      <c r="F43" s="36" t="s">
        <v>42</v>
      </c>
    </row>
    <row r="44" spans="1:11" x14ac:dyDescent="0.35">
      <c r="A44" s="35">
        <v>45850</v>
      </c>
      <c r="B44" s="23">
        <v>120</v>
      </c>
      <c r="C44" s="23"/>
      <c r="D44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44" s="22" t="s">
        <v>26</v>
      </c>
      <c r="F44" s="36" t="s">
        <v>48</v>
      </c>
    </row>
    <row r="45" spans="1:11" x14ac:dyDescent="0.35">
      <c r="A45" s="35">
        <v>45850</v>
      </c>
      <c r="B45" s="23">
        <v>150</v>
      </c>
      <c r="C45" s="23"/>
      <c r="D45" s="23">
        <f>Table23453456879111215141617181920212223242526272834567891011345678910111235111314[[#This Row],[Cash]]+Table23453456879111215141617181920212223242526272834567891011345678910111235111314[[#This Row],[Account Transfer]]</f>
        <v>150</v>
      </c>
      <c r="E45" s="22" t="s">
        <v>219</v>
      </c>
      <c r="F45" s="36" t="s">
        <v>46</v>
      </c>
    </row>
    <row r="46" spans="1:11" x14ac:dyDescent="0.35">
      <c r="A46" s="35">
        <v>45850</v>
      </c>
      <c r="B46" s="23">
        <v>50</v>
      </c>
      <c r="C46" s="23"/>
      <c r="D46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46" s="22" t="s">
        <v>301</v>
      </c>
      <c r="F46" s="36" t="s">
        <v>42</v>
      </c>
    </row>
    <row r="47" spans="1:11" x14ac:dyDescent="0.35">
      <c r="A47" s="35">
        <v>45851</v>
      </c>
      <c r="B47" s="23">
        <v>1000</v>
      </c>
      <c r="C47" s="23"/>
      <c r="D47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47" s="22" t="s">
        <v>69</v>
      </c>
      <c r="F47" s="36" t="s">
        <v>69</v>
      </c>
    </row>
    <row r="48" spans="1:11" x14ac:dyDescent="0.35">
      <c r="A48" s="35">
        <v>45851</v>
      </c>
      <c r="B48" s="23">
        <v>1125</v>
      </c>
      <c r="C48" s="23"/>
      <c r="D48" s="23">
        <f>Table23453456879111215141617181920212223242526272834567891011345678910111235111314[[#This Row],[Cash]]+Table23453456879111215141617181920212223242526272834567891011345678910111235111314[[#This Row],[Account Transfer]]</f>
        <v>1125</v>
      </c>
      <c r="E48" s="22" t="s">
        <v>81</v>
      </c>
      <c r="F48" s="36" t="s">
        <v>51</v>
      </c>
    </row>
    <row r="49" spans="1:6" x14ac:dyDescent="0.35">
      <c r="A49" s="35">
        <v>45851</v>
      </c>
      <c r="B49" s="23">
        <v>90</v>
      </c>
      <c r="C49" s="23"/>
      <c r="D49" s="23">
        <f>Table23453456879111215141617181920212223242526272834567891011345678910111235111314[[#This Row],[Cash]]+Table23453456879111215141617181920212223242526272834567891011345678910111235111314[[#This Row],[Account Transfer]]</f>
        <v>90</v>
      </c>
      <c r="E49" s="22" t="s">
        <v>26</v>
      </c>
      <c r="F49" s="36" t="s">
        <v>48</v>
      </c>
    </row>
    <row r="50" spans="1:6" x14ac:dyDescent="0.35">
      <c r="A50" s="35">
        <v>45851</v>
      </c>
      <c r="B50" s="23">
        <v>310</v>
      </c>
      <c r="C50" s="23"/>
      <c r="D50" s="23">
        <f>Table23453456879111215141617181920212223242526272834567891011345678910111235111314[[#This Row],[Cash]]+Table23453456879111215141617181920212223242526272834567891011345678910111235111314[[#This Row],[Account Transfer]]</f>
        <v>310</v>
      </c>
      <c r="E50" s="22" t="s">
        <v>327</v>
      </c>
      <c r="F50" s="36" t="s">
        <v>51</v>
      </c>
    </row>
    <row r="51" spans="1:6" x14ac:dyDescent="0.35">
      <c r="A51" s="35">
        <v>45851</v>
      </c>
      <c r="B51" s="23">
        <v>210</v>
      </c>
      <c r="C51" s="23"/>
      <c r="D51" s="23">
        <f>Table23453456879111215141617181920212223242526272834567891011345678910111235111314[[#This Row],[Cash]]+Table23453456879111215141617181920212223242526272834567891011345678910111235111314[[#This Row],[Account Transfer]]</f>
        <v>210</v>
      </c>
      <c r="E51" s="22" t="s">
        <v>28</v>
      </c>
      <c r="F51" s="36" t="s">
        <v>51</v>
      </c>
    </row>
    <row r="52" spans="1:6" x14ac:dyDescent="0.35">
      <c r="A52" s="35">
        <v>45852</v>
      </c>
      <c r="B52" s="23">
        <v>350</v>
      </c>
      <c r="C52" s="23"/>
      <c r="D52" s="23">
        <f>Table23453456879111215141617181920212223242526272834567891011345678910111235111314[[#This Row],[Cash]]+Table23453456879111215141617181920212223242526272834567891011345678910111235111314[[#This Row],[Account Transfer]]</f>
        <v>350</v>
      </c>
      <c r="E52" s="22" t="s">
        <v>78</v>
      </c>
      <c r="F52" s="36" t="s">
        <v>78</v>
      </c>
    </row>
    <row r="53" spans="1:6" x14ac:dyDescent="0.35">
      <c r="A53" s="35">
        <v>45852</v>
      </c>
      <c r="B53" s="23">
        <v>2000</v>
      </c>
      <c r="C53" s="23"/>
      <c r="D53" s="23">
        <f>Table23453456879111215141617181920212223242526272834567891011345678910111235111314[[#This Row],[Cash]]+Table23453456879111215141617181920212223242526272834567891011345678910111235111314[[#This Row],[Account Transfer]]</f>
        <v>2000</v>
      </c>
      <c r="E53" s="22" t="s">
        <v>129</v>
      </c>
      <c r="F53" s="36" t="s">
        <v>42</v>
      </c>
    </row>
    <row r="54" spans="1:6" x14ac:dyDescent="0.35">
      <c r="A54" s="35">
        <v>45852</v>
      </c>
      <c r="B54" s="23">
        <v>500</v>
      </c>
      <c r="C54" s="23"/>
      <c r="D54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54" s="22" t="s">
        <v>321</v>
      </c>
      <c r="F54" s="36" t="s">
        <v>48</v>
      </c>
    </row>
    <row r="55" spans="1:6" x14ac:dyDescent="0.35">
      <c r="A55" s="35">
        <v>45852</v>
      </c>
      <c r="B55" s="23">
        <v>100</v>
      </c>
      <c r="C55" s="23"/>
      <c r="D55" s="23">
        <f>Table23453456879111215141617181920212223242526272834567891011345678910111235111314[[#This Row],[Cash]]+Table23453456879111215141617181920212223242526272834567891011345678910111235111314[[#This Row],[Account Transfer]]</f>
        <v>100</v>
      </c>
      <c r="E55" s="22" t="s">
        <v>26</v>
      </c>
      <c r="F55" s="36" t="s">
        <v>48</v>
      </c>
    </row>
    <row r="56" spans="1:6" x14ac:dyDescent="0.35">
      <c r="A56" s="35">
        <v>45852</v>
      </c>
      <c r="B56" s="23"/>
      <c r="C56" s="23">
        <v>286</v>
      </c>
      <c r="D56" s="23">
        <f>Table23453456879111215141617181920212223242526272834567891011345678910111235111314[[#This Row],[Cash]]+Table23453456879111215141617181920212223242526272834567891011345678910111235111314[[#This Row],[Account Transfer]]</f>
        <v>286</v>
      </c>
      <c r="E56" s="22" t="s">
        <v>219</v>
      </c>
      <c r="F56" s="36" t="s">
        <v>46</v>
      </c>
    </row>
    <row r="57" spans="1:6" x14ac:dyDescent="0.35">
      <c r="A57" s="35">
        <v>45853</v>
      </c>
      <c r="B57" s="23">
        <v>50</v>
      </c>
      <c r="C57" s="23"/>
      <c r="D57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57" s="22" t="s">
        <v>26</v>
      </c>
      <c r="F57" s="36" t="s">
        <v>42</v>
      </c>
    </row>
    <row r="58" spans="1:6" x14ac:dyDescent="0.35">
      <c r="A58" s="35">
        <v>45853</v>
      </c>
      <c r="B58" s="23">
        <v>700</v>
      </c>
      <c r="C58" s="23"/>
      <c r="D58" s="23">
        <f>Table23453456879111215141617181920212223242526272834567891011345678910111235111314[[#This Row],[Cash]]+Table23453456879111215141617181920212223242526272834567891011345678910111235111314[[#This Row],[Account Transfer]]</f>
        <v>700</v>
      </c>
      <c r="E58" s="22" t="s">
        <v>113</v>
      </c>
      <c r="F58" s="36" t="s">
        <v>48</v>
      </c>
    </row>
    <row r="59" spans="1:6" x14ac:dyDescent="0.35">
      <c r="A59" s="35">
        <v>45853</v>
      </c>
      <c r="B59" s="23">
        <v>90</v>
      </c>
      <c r="C59" s="23"/>
      <c r="D59" s="23">
        <f>Table23453456879111215141617181920212223242526272834567891011345678910111235111314[[#This Row],[Cash]]+Table23453456879111215141617181920212223242526272834567891011345678910111235111314[[#This Row],[Account Transfer]]</f>
        <v>90</v>
      </c>
      <c r="E59" s="22" t="s">
        <v>26</v>
      </c>
      <c r="F59" s="36" t="s">
        <v>48</v>
      </c>
    </row>
    <row r="60" spans="1:6" x14ac:dyDescent="0.35">
      <c r="A60" s="35">
        <v>45854</v>
      </c>
      <c r="B60" s="23">
        <v>1000</v>
      </c>
      <c r="C60" s="23"/>
      <c r="D60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60" s="22" t="s">
        <v>69</v>
      </c>
      <c r="F60" s="36" t="s">
        <v>69</v>
      </c>
    </row>
    <row r="61" spans="1:6" x14ac:dyDescent="0.35">
      <c r="A61" s="35">
        <v>45854</v>
      </c>
      <c r="B61" s="23">
        <v>100</v>
      </c>
      <c r="C61" s="23"/>
      <c r="D61" s="23">
        <f>Table23453456879111215141617181920212223242526272834567891011345678910111235111314[[#This Row],[Cash]]+Table23453456879111215141617181920212223242526272834567891011345678910111235111314[[#This Row],[Account Transfer]]</f>
        <v>100</v>
      </c>
      <c r="E61" s="22" t="s">
        <v>129</v>
      </c>
      <c r="F61" s="36" t="s">
        <v>42</v>
      </c>
    </row>
    <row r="62" spans="1:6" x14ac:dyDescent="0.35">
      <c r="A62" s="35">
        <v>45854</v>
      </c>
      <c r="B62" s="23">
        <v>120</v>
      </c>
      <c r="C62" s="23"/>
      <c r="D62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62" s="22" t="s">
        <v>26</v>
      </c>
      <c r="F62" s="36" t="s">
        <v>48</v>
      </c>
    </row>
    <row r="63" spans="1:6" x14ac:dyDescent="0.35">
      <c r="A63" s="35">
        <v>45855</v>
      </c>
      <c r="B63" s="23">
        <v>700</v>
      </c>
      <c r="C63" s="23"/>
      <c r="D63" s="23">
        <f>Table23453456879111215141617181920212223242526272834567891011345678910111235111314[[#This Row],[Cash]]+Table23453456879111215141617181920212223242526272834567891011345678910111235111314[[#This Row],[Account Transfer]]</f>
        <v>700</v>
      </c>
      <c r="E63" s="22" t="s">
        <v>325</v>
      </c>
      <c r="F63" s="36" t="s">
        <v>48</v>
      </c>
    </row>
    <row r="64" spans="1:6" x14ac:dyDescent="0.35">
      <c r="A64" s="35">
        <v>45855</v>
      </c>
      <c r="B64" s="23">
        <v>60</v>
      </c>
      <c r="C64" s="23"/>
      <c r="D64" s="23">
        <f>Table23453456879111215141617181920212223242526272834567891011345678910111235111314[[#This Row],[Cash]]+Table23453456879111215141617181920212223242526272834567891011345678910111235111314[[#This Row],[Account Transfer]]</f>
        <v>60</v>
      </c>
      <c r="E64" s="22" t="s">
        <v>26</v>
      </c>
      <c r="F64" s="36" t="s">
        <v>42</v>
      </c>
    </row>
    <row r="65" spans="1:6" x14ac:dyDescent="0.35">
      <c r="A65" s="35">
        <v>45855</v>
      </c>
      <c r="B65" s="23">
        <v>90</v>
      </c>
      <c r="C65" s="23"/>
      <c r="D65" s="23">
        <f>Table23453456879111215141617181920212223242526272834567891011345678910111235111314[[#This Row],[Cash]]+Table23453456879111215141617181920212223242526272834567891011345678910111235111314[[#This Row],[Account Transfer]]</f>
        <v>90</v>
      </c>
      <c r="E65" s="22" t="s">
        <v>26</v>
      </c>
      <c r="F65" s="36" t="s">
        <v>48</v>
      </c>
    </row>
    <row r="66" spans="1:6" x14ac:dyDescent="0.35">
      <c r="A66" s="35">
        <v>45856</v>
      </c>
      <c r="B66" s="23">
        <v>500</v>
      </c>
      <c r="C66" s="23"/>
      <c r="D66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66" s="22" t="s">
        <v>321</v>
      </c>
      <c r="F66" s="36" t="s">
        <v>48</v>
      </c>
    </row>
    <row r="67" spans="1:6" x14ac:dyDescent="0.35">
      <c r="A67" s="35">
        <v>45856</v>
      </c>
      <c r="B67" s="23">
        <v>100</v>
      </c>
      <c r="C67" s="23"/>
      <c r="D67" s="23">
        <f>Table23453456879111215141617181920212223242526272834567891011345678910111235111314[[#This Row],[Cash]]+Table23453456879111215141617181920212223242526272834567891011345678910111235111314[[#This Row],[Account Transfer]]</f>
        <v>100</v>
      </c>
      <c r="E67" s="22" t="s">
        <v>23</v>
      </c>
      <c r="F67" s="36" t="s">
        <v>48</v>
      </c>
    </row>
    <row r="68" spans="1:6" x14ac:dyDescent="0.35">
      <c r="A68" s="35">
        <v>45856</v>
      </c>
      <c r="B68" s="23">
        <v>100</v>
      </c>
      <c r="C68" s="23"/>
      <c r="D68" s="23">
        <f>Table23453456879111215141617181920212223242526272834567891011345678910111235111314[[#This Row],[Cash]]+Table23453456879111215141617181920212223242526272834567891011345678910111235111314[[#This Row],[Account Transfer]]</f>
        <v>100</v>
      </c>
      <c r="E68" s="22" t="s">
        <v>26</v>
      </c>
      <c r="F68" s="36" t="s">
        <v>48</v>
      </c>
    </row>
    <row r="69" spans="1:6" x14ac:dyDescent="0.35">
      <c r="A69" s="35">
        <v>45856</v>
      </c>
      <c r="B69" s="23">
        <v>700</v>
      </c>
      <c r="C69" s="23"/>
      <c r="D69" s="23">
        <f>Table23453456879111215141617181920212223242526272834567891011345678910111235111314[[#This Row],[Cash]]+Table23453456879111215141617181920212223242526272834567891011345678910111235111314[[#This Row],[Account Transfer]]</f>
        <v>700</v>
      </c>
      <c r="E69" s="22" t="s">
        <v>219</v>
      </c>
      <c r="F69" s="36" t="s">
        <v>46</v>
      </c>
    </row>
    <row r="70" spans="1:6" x14ac:dyDescent="0.35">
      <c r="A70" s="35">
        <v>45857</v>
      </c>
      <c r="B70" s="23">
        <v>900</v>
      </c>
      <c r="C70" s="23"/>
      <c r="D70" s="23">
        <f>Table23453456879111215141617181920212223242526272834567891011345678910111235111314[[#This Row],[Cash]]+Table23453456879111215141617181920212223242526272834567891011345678910111235111314[[#This Row],[Account Transfer]]</f>
        <v>900</v>
      </c>
      <c r="E70" s="22" t="s">
        <v>321</v>
      </c>
      <c r="F70" s="36" t="s">
        <v>48</v>
      </c>
    </row>
    <row r="71" spans="1:6" x14ac:dyDescent="0.35">
      <c r="A71" s="35">
        <v>45857</v>
      </c>
      <c r="B71" s="23">
        <v>135</v>
      </c>
      <c r="C71" s="23"/>
      <c r="D71" s="23">
        <f>Table23453456879111215141617181920212223242526272834567891011345678910111235111314[[#This Row],[Cash]]+Table23453456879111215141617181920212223242526272834567891011345678910111235111314[[#This Row],[Account Transfer]]</f>
        <v>135</v>
      </c>
      <c r="E71" s="22" t="s">
        <v>26</v>
      </c>
      <c r="F71" s="36" t="s">
        <v>48</v>
      </c>
    </row>
    <row r="72" spans="1:6" x14ac:dyDescent="0.35">
      <c r="A72" s="35">
        <v>45858</v>
      </c>
      <c r="B72" s="23">
        <v>140</v>
      </c>
      <c r="C72" s="23"/>
      <c r="D72" s="23">
        <f>Table23453456879111215141617181920212223242526272834567891011345678910111235111314[[#This Row],[Cash]]+Table23453456879111215141617181920212223242526272834567891011345678910111235111314[[#This Row],[Account Transfer]]</f>
        <v>140</v>
      </c>
      <c r="E72" s="22" t="s">
        <v>26</v>
      </c>
      <c r="F72" s="36" t="s">
        <v>48</v>
      </c>
    </row>
    <row r="73" spans="1:6" x14ac:dyDescent="0.35">
      <c r="A73" s="35">
        <v>45858</v>
      </c>
      <c r="B73" s="23">
        <v>1500</v>
      </c>
      <c r="C73" s="23"/>
      <c r="D73" s="23">
        <f>Table23453456879111215141617181920212223242526272834567891011345678910111235111314[[#This Row],[Cash]]+Table23453456879111215141617181920212223242526272834567891011345678910111235111314[[#This Row],[Account Transfer]]</f>
        <v>1500</v>
      </c>
      <c r="E73" s="22" t="s">
        <v>129</v>
      </c>
      <c r="F73" s="36" t="s">
        <v>42</v>
      </c>
    </row>
    <row r="74" spans="1:6" x14ac:dyDescent="0.35">
      <c r="A74" s="35">
        <v>45858</v>
      </c>
      <c r="B74" s="23"/>
      <c r="C74" s="23">
        <v>1100</v>
      </c>
      <c r="D74" s="23">
        <f>Table23453456879111215141617181920212223242526272834567891011345678910111235111314[[#This Row],[Cash]]+Table23453456879111215141617181920212223242526272834567891011345678910111235111314[[#This Row],[Account Transfer]]</f>
        <v>1100</v>
      </c>
      <c r="E74" s="22" t="s">
        <v>113</v>
      </c>
      <c r="F74" s="36" t="s">
        <v>160</v>
      </c>
    </row>
    <row r="75" spans="1:6" x14ac:dyDescent="0.35">
      <c r="A75" s="35">
        <v>45858</v>
      </c>
      <c r="B75" s="23"/>
      <c r="C75" s="23">
        <v>60000</v>
      </c>
      <c r="D75" s="23">
        <f>Table23453456879111215141617181920212223242526272834567891011345678910111235111314[[#This Row],[Cash]]+Table23453456879111215141617181920212223242526272834567891011345678910111235111314[[#This Row],[Account Transfer]]</f>
        <v>60000</v>
      </c>
      <c r="E75" s="22" t="s">
        <v>75</v>
      </c>
      <c r="F75" s="36" t="s">
        <v>75</v>
      </c>
    </row>
    <row r="76" spans="1:6" x14ac:dyDescent="0.35">
      <c r="A76" s="35">
        <v>45859</v>
      </c>
      <c r="B76" s="23">
        <v>350</v>
      </c>
      <c r="C76" s="23"/>
      <c r="D76" s="23">
        <f>Table23453456879111215141617181920212223242526272834567891011345678910111235111314[[#This Row],[Cash]]+Table23453456879111215141617181920212223242526272834567891011345678910111235111314[[#This Row],[Account Transfer]]</f>
        <v>350</v>
      </c>
      <c r="E76" s="22" t="s">
        <v>234</v>
      </c>
      <c r="F76" s="36" t="s">
        <v>74</v>
      </c>
    </row>
    <row r="77" spans="1:6" x14ac:dyDescent="0.35">
      <c r="A77" s="35">
        <v>45859</v>
      </c>
      <c r="B77" s="23">
        <v>180</v>
      </c>
      <c r="C77" s="23"/>
      <c r="D77" s="23">
        <f>Table23453456879111215141617181920212223242526272834567891011345678910111235111314[[#This Row],[Cash]]+Table23453456879111215141617181920212223242526272834567891011345678910111235111314[[#This Row],[Account Transfer]]</f>
        <v>180</v>
      </c>
      <c r="E77" s="22" t="s">
        <v>26</v>
      </c>
      <c r="F77" s="36" t="s">
        <v>48</v>
      </c>
    </row>
    <row r="78" spans="1:6" x14ac:dyDescent="0.35">
      <c r="A78" s="35">
        <v>45860</v>
      </c>
      <c r="B78" s="23">
        <v>150</v>
      </c>
      <c r="C78" s="23"/>
      <c r="D78" s="23">
        <f>Table23453456879111215141617181920212223242526272834567891011345678910111235111314[[#This Row],[Cash]]+Table23453456879111215141617181920212223242526272834567891011345678910111235111314[[#This Row],[Account Transfer]]</f>
        <v>150</v>
      </c>
      <c r="E78" s="22" t="s">
        <v>26</v>
      </c>
      <c r="F78" s="36" t="s">
        <v>48</v>
      </c>
    </row>
    <row r="79" spans="1:6" x14ac:dyDescent="0.35">
      <c r="A79" s="35">
        <v>45860</v>
      </c>
      <c r="B79" s="23"/>
      <c r="C79" s="23">
        <v>50000</v>
      </c>
      <c r="D79" s="23">
        <f>Table23453456879111215141617181920212223242526272834567891011345678910111235111314[[#This Row],[Cash]]+Table23453456879111215141617181920212223242526272834567891011345678910111235111314[[#This Row],[Account Transfer]]</f>
        <v>50000</v>
      </c>
      <c r="E79" s="22" t="s">
        <v>75</v>
      </c>
      <c r="F79" s="36" t="s">
        <v>75</v>
      </c>
    </row>
    <row r="80" spans="1:6" x14ac:dyDescent="0.35">
      <c r="A80" s="35">
        <v>45860</v>
      </c>
      <c r="B80" s="23">
        <v>1000</v>
      </c>
      <c r="C80" s="23"/>
      <c r="D80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80" s="22" t="s">
        <v>69</v>
      </c>
      <c r="F80" s="36" t="s">
        <v>69</v>
      </c>
    </row>
    <row r="81" spans="1:6" x14ac:dyDescent="0.35">
      <c r="A81" s="35">
        <v>45860</v>
      </c>
      <c r="B81" s="23"/>
      <c r="C81" s="23">
        <f>3200+900</f>
        <v>4100</v>
      </c>
      <c r="D81" s="23">
        <f>Table23453456879111215141617181920212223242526272834567891011345678910111235111314[[#This Row],[Cash]]+Table23453456879111215141617181920212223242526272834567891011345678910111235111314[[#This Row],[Account Transfer]]</f>
        <v>4100</v>
      </c>
      <c r="E81" s="22" t="s">
        <v>322</v>
      </c>
      <c r="F81" s="36" t="s">
        <v>48</v>
      </c>
    </row>
    <row r="82" spans="1:6" x14ac:dyDescent="0.35">
      <c r="A82" s="35">
        <v>45860</v>
      </c>
      <c r="B82" s="23"/>
      <c r="C82" s="23">
        <v>19000</v>
      </c>
      <c r="D82" s="23">
        <f>Table23453456879111215141617181920212223242526272834567891011345678910111235111314[[#This Row],[Cash]]+Table23453456879111215141617181920212223242526272834567891011345678910111235111314[[#This Row],[Account Transfer]]</f>
        <v>19000</v>
      </c>
      <c r="E82" s="22" t="s">
        <v>328</v>
      </c>
      <c r="F82" s="36" t="s">
        <v>45</v>
      </c>
    </row>
    <row r="83" spans="1:6" x14ac:dyDescent="0.35">
      <c r="A83" s="35">
        <v>45861</v>
      </c>
      <c r="B83" s="23"/>
      <c r="C83" s="23">
        <v>3250</v>
      </c>
      <c r="D83" s="23">
        <f>Table23453456879111215141617181920212223242526272834567891011345678910111235111314[[#This Row],[Cash]]+Table23453456879111215141617181920212223242526272834567891011345678910111235111314[[#This Row],[Account Transfer]]</f>
        <v>3250</v>
      </c>
      <c r="E83" s="22" t="s">
        <v>329</v>
      </c>
      <c r="F83" s="36" t="s">
        <v>45</v>
      </c>
    </row>
    <row r="84" spans="1:6" x14ac:dyDescent="0.35">
      <c r="A84" s="35">
        <v>45861</v>
      </c>
      <c r="B84" s="23"/>
      <c r="C84" s="23">
        <v>800</v>
      </c>
      <c r="D84" s="23">
        <f>Table23453456879111215141617181920212223242526272834567891011345678910111235111314[[#This Row],[Cash]]+Table23453456879111215141617181920212223242526272834567891011345678910111235111314[[#This Row],[Account Transfer]]</f>
        <v>800</v>
      </c>
      <c r="E84" s="22" t="s">
        <v>330</v>
      </c>
      <c r="F84" s="36" t="s">
        <v>46</v>
      </c>
    </row>
    <row r="85" spans="1:6" x14ac:dyDescent="0.35">
      <c r="A85" s="35">
        <v>45861</v>
      </c>
      <c r="B85" s="23">
        <v>625</v>
      </c>
      <c r="C85" s="23"/>
      <c r="D85" s="23">
        <f>Table23453456879111215141617181920212223242526272834567891011345678910111235111314[[#This Row],[Cash]]+Table23453456879111215141617181920212223242526272834567891011345678910111235111314[[#This Row],[Account Transfer]]</f>
        <v>625</v>
      </c>
      <c r="E85" s="22" t="s">
        <v>331</v>
      </c>
      <c r="F85" s="36" t="s">
        <v>45</v>
      </c>
    </row>
    <row r="86" spans="1:6" x14ac:dyDescent="0.35">
      <c r="A86" s="35">
        <v>45861</v>
      </c>
      <c r="B86" s="23">
        <v>1000</v>
      </c>
      <c r="C86" s="23"/>
      <c r="D86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86" s="22" t="s">
        <v>69</v>
      </c>
      <c r="F86" s="36" t="s">
        <v>69</v>
      </c>
    </row>
    <row r="87" spans="1:6" x14ac:dyDescent="0.35">
      <c r="A87" s="35">
        <v>45861</v>
      </c>
      <c r="B87" s="23">
        <v>120</v>
      </c>
      <c r="C87" s="23"/>
      <c r="D87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87" s="22" t="s">
        <v>26</v>
      </c>
      <c r="F87" s="36" t="s">
        <v>48</v>
      </c>
    </row>
    <row r="88" spans="1:6" x14ac:dyDescent="0.35">
      <c r="A88" s="35">
        <v>45861</v>
      </c>
      <c r="B88" s="23">
        <v>200</v>
      </c>
      <c r="C88" s="23"/>
      <c r="D88" s="23">
        <f>Table23453456879111215141617181920212223242526272834567891011345678910111235111314[[#This Row],[Cash]]+Table23453456879111215141617181920212223242526272834567891011345678910111235111314[[#This Row],[Account Transfer]]</f>
        <v>200</v>
      </c>
      <c r="E88" s="22" t="s">
        <v>265</v>
      </c>
      <c r="F88" s="36" t="s">
        <v>48</v>
      </c>
    </row>
    <row r="89" spans="1:6" x14ac:dyDescent="0.35">
      <c r="A89" s="35">
        <v>45862</v>
      </c>
      <c r="B89" s="23">
        <v>2600</v>
      </c>
      <c r="C89" s="23"/>
      <c r="D89" s="23">
        <f>Table23453456879111215141617181920212223242526272834567891011345678910111235111314[[#This Row],[Cash]]+Table23453456879111215141617181920212223242526272834567891011345678910111235111314[[#This Row],[Account Transfer]]</f>
        <v>2600</v>
      </c>
      <c r="E89" s="22" t="s">
        <v>332</v>
      </c>
      <c r="F89" s="36" t="s">
        <v>78</v>
      </c>
    </row>
    <row r="90" spans="1:6" x14ac:dyDescent="0.35">
      <c r="A90" s="35">
        <v>45862</v>
      </c>
      <c r="B90" s="23">
        <v>1000</v>
      </c>
      <c r="C90" s="23"/>
      <c r="D90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90" s="22" t="s">
        <v>69</v>
      </c>
      <c r="F90" s="36" t="s">
        <v>69</v>
      </c>
    </row>
    <row r="91" spans="1:6" x14ac:dyDescent="0.35">
      <c r="A91" s="35">
        <v>45862</v>
      </c>
      <c r="B91" s="23">
        <v>120</v>
      </c>
      <c r="C91" s="23"/>
      <c r="D91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91" s="22" t="s">
        <v>26</v>
      </c>
      <c r="F91" s="36" t="s">
        <v>48</v>
      </c>
    </row>
    <row r="92" spans="1:6" x14ac:dyDescent="0.35">
      <c r="A92" s="35">
        <v>45863</v>
      </c>
      <c r="B92" s="23">
        <v>100</v>
      </c>
      <c r="C92" s="23"/>
      <c r="D92" s="23">
        <f>Table23453456879111215141617181920212223242526272834567891011345678910111235111314[[#This Row],[Cash]]+Table23453456879111215141617181920212223242526272834567891011345678910111235111314[[#This Row],[Account Transfer]]</f>
        <v>100</v>
      </c>
      <c r="E92" s="22" t="s">
        <v>220</v>
      </c>
      <c r="F92" s="36" t="s">
        <v>48</v>
      </c>
    </row>
    <row r="93" spans="1:6" x14ac:dyDescent="0.35">
      <c r="A93" s="35">
        <v>45863</v>
      </c>
      <c r="B93" s="23"/>
      <c r="C93" s="23">
        <v>750</v>
      </c>
      <c r="D93" s="23">
        <f>Table23453456879111215141617181920212223242526272834567891011345678910111235111314[[#This Row],[Cash]]+Table23453456879111215141617181920212223242526272834567891011345678910111235111314[[#This Row],[Account Transfer]]</f>
        <v>750</v>
      </c>
      <c r="E93" s="22" t="s">
        <v>325</v>
      </c>
      <c r="F93" s="36" t="s">
        <v>48</v>
      </c>
    </row>
    <row r="94" spans="1:6" x14ac:dyDescent="0.35">
      <c r="A94" s="35">
        <v>45863</v>
      </c>
      <c r="B94" s="23">
        <v>85</v>
      </c>
      <c r="C94" s="23"/>
      <c r="D94" s="23">
        <f>Table23453456879111215141617181920212223242526272834567891011345678910111235111314[[#This Row],[Cash]]+Table23453456879111215141617181920212223242526272834567891011345678910111235111314[[#This Row],[Account Transfer]]</f>
        <v>85</v>
      </c>
      <c r="E94" s="22" t="s">
        <v>203</v>
      </c>
      <c r="F94" s="36" t="s">
        <v>48</v>
      </c>
    </row>
    <row r="95" spans="1:6" x14ac:dyDescent="0.35">
      <c r="A95" s="35">
        <v>45863</v>
      </c>
      <c r="B95" s="23">
        <v>1000</v>
      </c>
      <c r="C95" s="23"/>
      <c r="D95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95" s="22" t="s">
        <v>69</v>
      </c>
      <c r="F95" s="36" t="s">
        <v>69</v>
      </c>
    </row>
    <row r="96" spans="1:6" x14ac:dyDescent="0.35">
      <c r="A96" s="35">
        <v>45863</v>
      </c>
      <c r="B96" s="23"/>
      <c r="C96" s="23">
        <v>650</v>
      </c>
      <c r="D96" s="23">
        <f>Table23453456879111215141617181920212223242526272834567891011345678910111235111314[[#This Row],[Cash]]+Table23453456879111215141617181920212223242526272834567891011345678910111235111314[[#This Row],[Account Transfer]]</f>
        <v>650</v>
      </c>
      <c r="E96" s="22" t="s">
        <v>333</v>
      </c>
      <c r="F96" s="36" t="s">
        <v>45</v>
      </c>
    </row>
    <row r="97" spans="1:6" x14ac:dyDescent="0.35">
      <c r="A97" s="35">
        <v>45863</v>
      </c>
      <c r="B97" s="23"/>
      <c r="C97" s="23">
        <v>1500</v>
      </c>
      <c r="D97" s="23">
        <f>Table23453456879111215141617181920212223242526272834567891011345678910111235111314[[#This Row],[Cash]]+Table23453456879111215141617181920212223242526272834567891011345678910111235111314[[#This Row],[Account Transfer]]</f>
        <v>1500</v>
      </c>
      <c r="E97" s="22" t="s">
        <v>334</v>
      </c>
      <c r="F97" s="36" t="s">
        <v>45</v>
      </c>
    </row>
    <row r="98" spans="1:6" x14ac:dyDescent="0.35">
      <c r="A98" s="35">
        <v>45863</v>
      </c>
      <c r="B98" s="23">
        <v>120</v>
      </c>
      <c r="C98" s="23"/>
      <c r="D98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98" s="22" t="s">
        <v>26</v>
      </c>
      <c r="F98" s="36" t="s">
        <v>26</v>
      </c>
    </row>
    <row r="99" spans="1:6" x14ac:dyDescent="0.35">
      <c r="A99" s="35">
        <v>45864</v>
      </c>
      <c r="B99" s="23">
        <v>2000</v>
      </c>
      <c r="C99" s="23"/>
      <c r="D99" s="23">
        <f>Table23453456879111215141617181920212223242526272834567891011345678910111235111314[[#This Row],[Cash]]+Table23453456879111215141617181920212223242526272834567891011345678910111235111314[[#This Row],[Account Transfer]]</f>
        <v>2000</v>
      </c>
      <c r="E99" s="22" t="s">
        <v>336</v>
      </c>
      <c r="F99" s="36" t="s">
        <v>45</v>
      </c>
    </row>
    <row r="100" spans="1:6" x14ac:dyDescent="0.35">
      <c r="A100" s="35">
        <v>45864</v>
      </c>
      <c r="B100" s="23">
        <v>500</v>
      </c>
      <c r="C100" s="23"/>
      <c r="D100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100" s="22" t="s">
        <v>321</v>
      </c>
      <c r="F100" s="36" t="s">
        <v>48</v>
      </c>
    </row>
    <row r="101" spans="1:6" x14ac:dyDescent="0.35">
      <c r="A101" s="35">
        <v>45864</v>
      </c>
      <c r="B101" s="23">
        <v>170</v>
      </c>
      <c r="C101" s="23"/>
      <c r="D101" s="23">
        <f>Table23453456879111215141617181920212223242526272834567891011345678910111235111314[[#This Row],[Cash]]+Table23453456879111215141617181920212223242526272834567891011345678910111235111314[[#This Row],[Account Transfer]]</f>
        <v>170</v>
      </c>
      <c r="E101" s="22" t="s">
        <v>26</v>
      </c>
      <c r="F101" s="36" t="s">
        <v>48</v>
      </c>
    </row>
    <row r="102" spans="1:6" x14ac:dyDescent="0.35">
      <c r="A102" s="35">
        <v>45864</v>
      </c>
      <c r="B102" s="23">
        <v>1000</v>
      </c>
      <c r="C102" s="23"/>
      <c r="D102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02" s="22" t="s">
        <v>69</v>
      </c>
      <c r="F102" s="36" t="s">
        <v>69</v>
      </c>
    </row>
    <row r="103" spans="1:6" x14ac:dyDescent="0.35">
      <c r="A103" s="35">
        <v>45864</v>
      </c>
      <c r="B103" s="23">
        <v>1000</v>
      </c>
      <c r="C103" s="23"/>
      <c r="D103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03" s="22" t="s">
        <v>326</v>
      </c>
      <c r="F103" s="36" t="s">
        <v>51</v>
      </c>
    </row>
    <row r="104" spans="1:6" x14ac:dyDescent="0.35">
      <c r="A104" s="35">
        <v>45864</v>
      </c>
      <c r="B104" s="23">
        <v>400</v>
      </c>
      <c r="C104" s="23"/>
      <c r="D104" s="23">
        <f>Table23453456879111215141617181920212223242526272834567891011345678910111235111314[[#This Row],[Cash]]+Table23453456879111215141617181920212223242526272834567891011345678910111235111314[[#This Row],[Account Transfer]]</f>
        <v>400</v>
      </c>
      <c r="E104" s="22" t="s">
        <v>337</v>
      </c>
      <c r="F104" s="36" t="s">
        <v>338</v>
      </c>
    </row>
    <row r="105" spans="1:6" x14ac:dyDescent="0.35">
      <c r="A105" s="35">
        <v>45864</v>
      </c>
      <c r="B105" s="23"/>
      <c r="C105" s="23">
        <v>5000</v>
      </c>
      <c r="D105" s="23">
        <f>Table23453456879111215141617181920212223242526272834567891011345678910111235111314[[#This Row],[Cash]]+Table23453456879111215141617181920212223242526272834567891011345678910111235111314[[#This Row],[Account Transfer]]</f>
        <v>5000</v>
      </c>
      <c r="E105" s="22" t="s">
        <v>339</v>
      </c>
      <c r="F105" s="36" t="s">
        <v>340</v>
      </c>
    </row>
    <row r="106" spans="1:6" x14ac:dyDescent="0.35">
      <c r="A106" s="35">
        <v>45864</v>
      </c>
      <c r="B106" s="23"/>
      <c r="C106" s="23">
        <v>300</v>
      </c>
      <c r="D106" s="23">
        <f>Table23453456879111215141617181920212223242526272834567891011345678910111235111314[[#This Row],[Cash]]+Table23453456879111215141617181920212223242526272834567891011345678910111235111314[[#This Row],[Account Transfer]]</f>
        <v>300</v>
      </c>
      <c r="E106" s="22" t="s">
        <v>341</v>
      </c>
      <c r="F106" s="36" t="s">
        <v>48</v>
      </c>
    </row>
    <row r="107" spans="1:6" x14ac:dyDescent="0.35">
      <c r="A107" s="35">
        <v>45865</v>
      </c>
      <c r="B107" s="23">
        <v>50</v>
      </c>
      <c r="C107" s="23"/>
      <c r="D107" s="23">
        <f>Table23453456879111215141617181920212223242526272834567891011345678910111235111314[[#This Row],[Cash]]+Table23453456879111215141617181920212223242526272834567891011345678910111235111314[[#This Row],[Account Transfer]]</f>
        <v>50</v>
      </c>
      <c r="E107" s="22" t="s">
        <v>301</v>
      </c>
      <c r="F107" s="36" t="s">
        <v>42</v>
      </c>
    </row>
    <row r="108" spans="1:6" x14ac:dyDescent="0.35">
      <c r="A108" s="35">
        <v>45865</v>
      </c>
      <c r="B108" s="23">
        <v>120</v>
      </c>
      <c r="C108" s="23"/>
      <c r="D108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108" s="22" t="s">
        <v>26</v>
      </c>
      <c r="F108" s="36" t="s">
        <v>48</v>
      </c>
    </row>
    <row r="109" spans="1:6" x14ac:dyDescent="0.35">
      <c r="A109" s="35">
        <v>45865</v>
      </c>
      <c r="B109" s="23">
        <v>1000</v>
      </c>
      <c r="C109" s="23"/>
      <c r="D109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09" s="22" t="s">
        <v>69</v>
      </c>
      <c r="F109" s="36" t="s">
        <v>69</v>
      </c>
    </row>
    <row r="110" spans="1:6" x14ac:dyDescent="0.35">
      <c r="A110" s="35">
        <v>45866</v>
      </c>
      <c r="B110" s="23">
        <v>150</v>
      </c>
      <c r="C110" s="23"/>
      <c r="D110" s="23">
        <f>Table23453456879111215141617181920212223242526272834567891011345678910111235111314[[#This Row],[Cash]]+Table23453456879111215141617181920212223242526272834567891011345678910111235111314[[#This Row],[Account Transfer]]</f>
        <v>150</v>
      </c>
      <c r="E110" s="22" t="s">
        <v>301</v>
      </c>
      <c r="F110" s="36" t="s">
        <v>42</v>
      </c>
    </row>
    <row r="111" spans="1:6" x14ac:dyDescent="0.35">
      <c r="A111" s="35">
        <v>45866</v>
      </c>
      <c r="B111" s="23">
        <v>120</v>
      </c>
      <c r="C111" s="23"/>
      <c r="D111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111" s="22" t="s">
        <v>26</v>
      </c>
      <c r="F111" s="36" t="s">
        <v>48</v>
      </c>
    </row>
    <row r="112" spans="1:6" x14ac:dyDescent="0.35">
      <c r="A112" s="35">
        <v>45866</v>
      </c>
      <c r="B112" s="23">
        <v>1000</v>
      </c>
      <c r="C112" s="23"/>
      <c r="D112" s="23">
        <f>Table23453456879111215141617181920212223242526272834567891011345678910111235111314[[#This Row],[Cash]]+Table23453456879111215141617181920212223242526272834567891011345678910111235111314[[#This Row],[Account Transfer]]</f>
        <v>1000</v>
      </c>
      <c r="E112" s="22" t="s">
        <v>69</v>
      </c>
      <c r="F112" s="36" t="s">
        <v>69</v>
      </c>
    </row>
    <row r="113" spans="1:6" x14ac:dyDescent="0.35">
      <c r="A113" s="35">
        <v>45867</v>
      </c>
      <c r="B113" s="23">
        <v>9660</v>
      </c>
      <c r="C113" s="23"/>
      <c r="D113" s="23">
        <f>Table23453456879111215141617181920212223242526272834567891011345678910111235111314[[#This Row],[Cash]]+Table23453456879111215141617181920212223242526272834567891011345678910111235111314[[#This Row],[Account Transfer]]</f>
        <v>9660</v>
      </c>
      <c r="E113" s="22" t="s">
        <v>342</v>
      </c>
      <c r="F113" s="36" t="s">
        <v>45</v>
      </c>
    </row>
    <row r="114" spans="1:6" x14ac:dyDescent="0.35">
      <c r="A114" s="35">
        <v>45867</v>
      </c>
      <c r="B114" s="23">
        <v>250</v>
      </c>
      <c r="C114" s="23"/>
      <c r="D114" s="23">
        <f>Table23453456879111215141617181920212223242526272834567891011345678910111235111314[[#This Row],[Cash]]+Table23453456879111215141617181920212223242526272834567891011345678910111235111314[[#This Row],[Account Transfer]]</f>
        <v>250</v>
      </c>
      <c r="E114" s="22" t="s">
        <v>321</v>
      </c>
      <c r="F114" s="36" t="s">
        <v>48</v>
      </c>
    </row>
    <row r="115" spans="1:6" x14ac:dyDescent="0.35">
      <c r="A115" s="35">
        <v>45867</v>
      </c>
      <c r="B115" s="23">
        <v>500</v>
      </c>
      <c r="C115" s="23"/>
      <c r="D115" s="23">
        <f>Table23453456879111215141617181920212223242526272834567891011345678910111235111314[[#This Row],[Cash]]+Table23453456879111215141617181920212223242526272834567891011345678910111235111314[[#This Row],[Account Transfer]]</f>
        <v>500</v>
      </c>
      <c r="E115" s="22" t="s">
        <v>343</v>
      </c>
      <c r="F115" s="36" t="s">
        <v>42</v>
      </c>
    </row>
    <row r="116" spans="1:6" x14ac:dyDescent="0.35">
      <c r="A116" s="35">
        <v>45867</v>
      </c>
      <c r="B116" s="23">
        <v>170</v>
      </c>
      <c r="C116" s="23"/>
      <c r="D116" s="23">
        <f>Table23453456879111215141617181920212223242526272834567891011345678910111235111314[[#This Row],[Cash]]+Table23453456879111215141617181920212223242526272834567891011345678910111235111314[[#This Row],[Account Transfer]]</f>
        <v>170</v>
      </c>
      <c r="E116" s="22" t="s">
        <v>26</v>
      </c>
      <c r="F116" s="36" t="s">
        <v>74</v>
      </c>
    </row>
    <row r="117" spans="1:6" x14ac:dyDescent="0.35">
      <c r="A117" s="35">
        <v>45868</v>
      </c>
      <c r="B117" s="23">
        <v>170</v>
      </c>
      <c r="C117" s="23"/>
      <c r="D117" s="23">
        <f>Table23453456879111215141617181920212223242526272834567891011345678910111235111314[[#This Row],[Cash]]+Table23453456879111215141617181920212223242526272834567891011345678910111235111314[[#This Row],[Account Transfer]]</f>
        <v>170</v>
      </c>
      <c r="E117" s="22" t="s">
        <v>26</v>
      </c>
      <c r="F117" s="36" t="s">
        <v>74</v>
      </c>
    </row>
    <row r="118" spans="1:6" x14ac:dyDescent="0.35">
      <c r="A118" s="35">
        <v>45868</v>
      </c>
      <c r="B118" s="23"/>
      <c r="C118" s="23">
        <v>2000</v>
      </c>
      <c r="D118" s="23">
        <f>Table23453456879111215141617181920212223242526272834567891011345678910111235111314[[#This Row],[Cash]]+Table23453456879111215141617181920212223242526272834567891011345678910111235111314[[#This Row],[Account Transfer]]</f>
        <v>2000</v>
      </c>
      <c r="E118" s="22" t="s">
        <v>28</v>
      </c>
      <c r="F118" s="36" t="s">
        <v>51</v>
      </c>
    </row>
    <row r="119" spans="1:6" x14ac:dyDescent="0.35">
      <c r="A119" s="35">
        <v>45868</v>
      </c>
      <c r="B119" s="23"/>
      <c r="C119" s="23">
        <v>2800</v>
      </c>
      <c r="D119" s="23">
        <f>Table23453456879111215141617181920212223242526272834567891011345678910111235111314[[#This Row],[Cash]]+Table23453456879111215141617181920212223242526272834567891011345678910111235111314[[#This Row],[Account Transfer]]</f>
        <v>2800</v>
      </c>
      <c r="E119" s="44" t="s">
        <v>81</v>
      </c>
      <c r="F119" s="36" t="s">
        <v>51</v>
      </c>
    </row>
    <row r="120" spans="1:6" x14ac:dyDescent="0.35">
      <c r="A120" s="35">
        <v>45869</v>
      </c>
      <c r="B120" s="23">
        <v>120</v>
      </c>
      <c r="C120" s="23"/>
      <c r="D120" s="23">
        <f>Table23453456879111215141617181920212223242526272834567891011345678910111235111314[[#This Row],[Cash]]+Table23453456879111215141617181920212223242526272834567891011345678910111235111314[[#This Row],[Account Transfer]]</f>
        <v>120</v>
      </c>
      <c r="E120" s="22" t="s">
        <v>26</v>
      </c>
      <c r="F120" s="36" t="s">
        <v>48</v>
      </c>
    </row>
    <row r="121" spans="1:6" x14ac:dyDescent="0.35">
      <c r="A121" s="35"/>
      <c r="B121" s="23"/>
      <c r="C121" s="23"/>
      <c r="D12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1" s="22"/>
      <c r="F121" s="36"/>
    </row>
    <row r="122" spans="1:6" x14ac:dyDescent="0.35">
      <c r="A122" s="35"/>
      <c r="B122" s="23"/>
      <c r="C122" s="23"/>
      <c r="D12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2" s="22"/>
      <c r="F122" s="36"/>
    </row>
    <row r="123" spans="1:6" x14ac:dyDescent="0.35">
      <c r="A123" s="35"/>
      <c r="B123" s="23"/>
      <c r="C123" s="23"/>
      <c r="D12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3" s="22"/>
      <c r="F123" s="36"/>
    </row>
    <row r="124" spans="1:6" x14ac:dyDescent="0.35">
      <c r="A124" s="35"/>
      <c r="B124" s="23"/>
      <c r="C124" s="23"/>
      <c r="D12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4" s="22"/>
      <c r="F124" s="36"/>
    </row>
    <row r="125" spans="1:6" x14ac:dyDescent="0.35">
      <c r="A125" s="35"/>
      <c r="B125" s="23"/>
      <c r="C125" s="23"/>
      <c r="D12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5" s="22"/>
      <c r="F125" s="36"/>
    </row>
    <row r="126" spans="1:6" x14ac:dyDescent="0.35">
      <c r="A126" s="35"/>
      <c r="B126" s="23"/>
      <c r="C126" s="23"/>
      <c r="D12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6" s="22"/>
      <c r="F126" s="36"/>
    </row>
    <row r="127" spans="1:6" x14ac:dyDescent="0.35">
      <c r="A127" s="35"/>
      <c r="B127" s="23"/>
      <c r="C127" s="23"/>
      <c r="D12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7" s="22"/>
      <c r="F127" s="36"/>
    </row>
    <row r="128" spans="1:6" x14ac:dyDescent="0.35">
      <c r="A128" s="35"/>
      <c r="B128" s="23"/>
      <c r="C128" s="23"/>
      <c r="D12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8" s="22"/>
      <c r="F128" s="36"/>
    </row>
    <row r="129" spans="1:6" x14ac:dyDescent="0.35">
      <c r="A129" s="35"/>
      <c r="B129" s="23"/>
      <c r="C129" s="23"/>
      <c r="D12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29" s="22"/>
      <c r="F129" s="36"/>
    </row>
    <row r="130" spans="1:6" x14ac:dyDescent="0.35">
      <c r="A130" s="35"/>
      <c r="B130" s="23"/>
      <c r="C130" s="23"/>
      <c r="D13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0" s="22"/>
      <c r="F130" s="36"/>
    </row>
    <row r="131" spans="1:6" x14ac:dyDescent="0.35">
      <c r="A131" s="35"/>
      <c r="B131" s="23"/>
      <c r="C131" s="23"/>
      <c r="D13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1" s="22"/>
      <c r="F131" s="36"/>
    </row>
    <row r="132" spans="1:6" x14ac:dyDescent="0.35">
      <c r="A132" s="35"/>
      <c r="B132" s="23"/>
      <c r="C132" s="23"/>
      <c r="D13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2" s="22"/>
      <c r="F132" s="36"/>
    </row>
    <row r="133" spans="1:6" x14ac:dyDescent="0.35">
      <c r="A133" s="35"/>
      <c r="B133" s="23"/>
      <c r="C133" s="23"/>
      <c r="D13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3" s="22"/>
      <c r="F133" s="36"/>
    </row>
    <row r="134" spans="1:6" x14ac:dyDescent="0.35">
      <c r="A134" s="35"/>
      <c r="B134" s="23"/>
      <c r="C134" s="23"/>
      <c r="D13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4" s="22"/>
      <c r="F134" s="36"/>
    </row>
    <row r="135" spans="1:6" x14ac:dyDescent="0.35">
      <c r="A135" s="35"/>
      <c r="B135" s="23"/>
      <c r="C135" s="23"/>
      <c r="D13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5" s="22"/>
      <c r="F135" s="36"/>
    </row>
    <row r="136" spans="1:6" x14ac:dyDescent="0.35">
      <c r="A136" s="35"/>
      <c r="B136" s="23"/>
      <c r="C136" s="23"/>
      <c r="D13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6" s="22"/>
      <c r="F136" s="36"/>
    </row>
    <row r="137" spans="1:6" x14ac:dyDescent="0.35">
      <c r="A137" s="35"/>
      <c r="B137" s="23"/>
      <c r="C137" s="23"/>
      <c r="D13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7" s="22"/>
      <c r="F137" s="36"/>
    </row>
    <row r="138" spans="1:6" x14ac:dyDescent="0.35">
      <c r="A138" s="35"/>
      <c r="B138" s="23"/>
      <c r="C138" s="23"/>
      <c r="D13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8" s="22"/>
      <c r="F138" s="36"/>
    </row>
    <row r="139" spans="1:6" x14ac:dyDescent="0.35">
      <c r="A139" s="35"/>
      <c r="B139" s="23"/>
      <c r="C139" s="23"/>
      <c r="D13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39" s="22"/>
      <c r="F139" s="36"/>
    </row>
    <row r="140" spans="1:6" x14ac:dyDescent="0.35">
      <c r="A140" s="35"/>
      <c r="B140" s="23"/>
      <c r="C140" s="23"/>
      <c r="D14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0" s="22"/>
      <c r="F140" s="36"/>
    </row>
    <row r="141" spans="1:6" x14ac:dyDescent="0.35">
      <c r="A141" s="35"/>
      <c r="B141" s="23"/>
      <c r="C141" s="23"/>
      <c r="D14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1" s="22"/>
      <c r="F141" s="36"/>
    </row>
    <row r="142" spans="1:6" x14ac:dyDescent="0.35">
      <c r="A142" s="35"/>
      <c r="B142" s="23"/>
      <c r="C142" s="23"/>
      <c r="D14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2" s="22"/>
      <c r="F142" s="36"/>
    </row>
    <row r="143" spans="1:6" x14ac:dyDescent="0.35">
      <c r="A143" s="35"/>
      <c r="B143" s="23"/>
      <c r="C143" s="23"/>
      <c r="D14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3" s="22"/>
      <c r="F143" s="36"/>
    </row>
    <row r="144" spans="1:6" x14ac:dyDescent="0.35">
      <c r="A144" s="35"/>
      <c r="B144" s="23"/>
      <c r="C144" s="23"/>
      <c r="D14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4" s="22"/>
      <c r="F144" s="36"/>
    </row>
    <row r="145" spans="1:6" x14ac:dyDescent="0.35">
      <c r="A145" s="35"/>
      <c r="B145" s="23"/>
      <c r="C145" s="23"/>
      <c r="D14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5" s="22"/>
      <c r="F145" s="36"/>
    </row>
    <row r="146" spans="1:6" x14ac:dyDescent="0.35">
      <c r="A146" s="35"/>
      <c r="B146" s="23"/>
      <c r="C146" s="23"/>
      <c r="D14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6" s="22"/>
      <c r="F146" s="36"/>
    </row>
    <row r="147" spans="1:6" x14ac:dyDescent="0.35">
      <c r="A147" s="35"/>
      <c r="B147" s="23"/>
      <c r="C147" s="23"/>
      <c r="D14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7" s="22"/>
      <c r="F147" s="36"/>
    </row>
    <row r="148" spans="1:6" x14ac:dyDescent="0.35">
      <c r="A148" s="35"/>
      <c r="B148" s="23"/>
      <c r="C148" s="23"/>
      <c r="D14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8" s="22"/>
      <c r="F148" s="36"/>
    </row>
    <row r="149" spans="1:6" x14ac:dyDescent="0.35">
      <c r="A149" s="35"/>
      <c r="B149" s="23"/>
      <c r="C149" s="23"/>
      <c r="D14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49" s="22"/>
      <c r="F149" s="36"/>
    </row>
    <row r="150" spans="1:6" x14ac:dyDescent="0.35">
      <c r="A150" s="35"/>
      <c r="B150" s="23"/>
      <c r="C150" s="23"/>
      <c r="D15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0" s="22"/>
      <c r="F150" s="36"/>
    </row>
    <row r="151" spans="1:6" x14ac:dyDescent="0.35">
      <c r="A151" s="35"/>
      <c r="B151" s="23"/>
      <c r="C151" s="23"/>
      <c r="D15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1" s="22"/>
      <c r="F151" s="36"/>
    </row>
    <row r="152" spans="1:6" x14ac:dyDescent="0.35">
      <c r="A152" s="35"/>
      <c r="B152" s="23"/>
      <c r="C152" s="23"/>
      <c r="D15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2" s="22"/>
      <c r="F152" s="36"/>
    </row>
    <row r="153" spans="1:6" x14ac:dyDescent="0.35">
      <c r="A153" s="35"/>
      <c r="B153" s="23"/>
      <c r="C153" s="23"/>
      <c r="D15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3" s="22"/>
      <c r="F153" s="36"/>
    </row>
    <row r="154" spans="1:6" x14ac:dyDescent="0.35">
      <c r="A154" s="35"/>
      <c r="B154" s="23"/>
      <c r="C154" s="23"/>
      <c r="D15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4" s="22"/>
      <c r="F154" s="36"/>
    </row>
    <row r="155" spans="1:6" x14ac:dyDescent="0.35">
      <c r="A155" s="35"/>
      <c r="B155" s="23"/>
      <c r="C155" s="23"/>
      <c r="D15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5" s="22"/>
      <c r="F155" s="36"/>
    </row>
    <row r="156" spans="1:6" x14ac:dyDescent="0.35">
      <c r="A156" s="35"/>
      <c r="B156" s="23"/>
      <c r="C156" s="23"/>
      <c r="D15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6" s="22"/>
      <c r="F156" s="36"/>
    </row>
    <row r="157" spans="1:6" x14ac:dyDescent="0.35">
      <c r="A157" s="35"/>
      <c r="B157" s="23"/>
      <c r="C157" s="23"/>
      <c r="D15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7" s="22"/>
      <c r="F157" s="36"/>
    </row>
    <row r="158" spans="1:6" x14ac:dyDescent="0.35">
      <c r="A158" s="35"/>
      <c r="B158" s="23"/>
      <c r="C158" s="23"/>
      <c r="D15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8" s="22"/>
      <c r="F158" s="36"/>
    </row>
    <row r="159" spans="1:6" x14ac:dyDescent="0.35">
      <c r="A159" s="35"/>
      <c r="B159" s="23"/>
      <c r="C159" s="23"/>
      <c r="D15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59" s="22"/>
      <c r="F159" s="36"/>
    </row>
    <row r="160" spans="1:6" x14ac:dyDescent="0.35">
      <c r="A160" s="35"/>
      <c r="B160" s="23"/>
      <c r="C160" s="23"/>
      <c r="D16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0" s="22"/>
      <c r="F160" s="36"/>
    </row>
    <row r="161" spans="1:6" x14ac:dyDescent="0.35">
      <c r="A161" s="35"/>
      <c r="B161" s="23"/>
      <c r="C161" s="23"/>
      <c r="D16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1" s="22"/>
      <c r="F161" s="36"/>
    </row>
    <row r="162" spans="1:6" x14ac:dyDescent="0.35">
      <c r="A162" s="35"/>
      <c r="B162" s="23"/>
      <c r="C162" s="23"/>
      <c r="D16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2" s="22"/>
      <c r="F162" s="36"/>
    </row>
    <row r="163" spans="1:6" x14ac:dyDescent="0.35">
      <c r="A163" s="35"/>
      <c r="B163" s="23"/>
      <c r="C163" s="23"/>
      <c r="D16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3" s="22"/>
      <c r="F163" s="36"/>
    </row>
    <row r="164" spans="1:6" x14ac:dyDescent="0.35">
      <c r="A164" s="35"/>
      <c r="B164" s="23"/>
      <c r="C164" s="23"/>
      <c r="D16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4" s="22"/>
      <c r="F164" s="36"/>
    </row>
    <row r="165" spans="1:6" x14ac:dyDescent="0.35">
      <c r="A165" s="35"/>
      <c r="B165" s="23"/>
      <c r="C165" s="23"/>
      <c r="D16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5" s="22"/>
      <c r="F165" s="36"/>
    </row>
    <row r="166" spans="1:6" x14ac:dyDescent="0.35">
      <c r="A166" s="35"/>
      <c r="B166" s="23"/>
      <c r="C166" s="23"/>
      <c r="D16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6" s="22"/>
      <c r="F166" s="36"/>
    </row>
    <row r="167" spans="1:6" x14ac:dyDescent="0.35">
      <c r="A167" s="35"/>
      <c r="B167" s="23"/>
      <c r="C167" s="23"/>
      <c r="D16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7" s="22"/>
      <c r="F217" s="36"/>
    </row>
    <row r="218" spans="1:6" x14ac:dyDescent="0.35">
      <c r="A218" s="35"/>
      <c r="B218" s="23"/>
      <c r="C218" s="23"/>
      <c r="D21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8" s="22"/>
      <c r="F218" s="36"/>
    </row>
    <row r="219" spans="1:6" x14ac:dyDescent="0.35">
      <c r="A219" s="35"/>
      <c r="B219" s="23"/>
      <c r="C219" s="23"/>
      <c r="D219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19" s="22"/>
      <c r="F219" s="36"/>
    </row>
    <row r="220" spans="1:6" x14ac:dyDescent="0.35">
      <c r="A220" s="35"/>
      <c r="B220" s="23"/>
      <c r="C220" s="23"/>
      <c r="D220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0" s="22"/>
      <c r="F220" s="36"/>
    </row>
    <row r="221" spans="1:6" x14ac:dyDescent="0.35">
      <c r="A221" s="35"/>
      <c r="B221" s="23"/>
      <c r="C221" s="23"/>
      <c r="D221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1" s="22"/>
      <c r="F221" s="36"/>
    </row>
    <row r="222" spans="1:6" x14ac:dyDescent="0.35">
      <c r="A222" s="35"/>
      <c r="B222" s="23"/>
      <c r="C222" s="23"/>
      <c r="D222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2" s="22"/>
      <c r="F222" s="36"/>
    </row>
    <row r="223" spans="1:6" x14ac:dyDescent="0.35">
      <c r="A223" s="35"/>
      <c r="B223" s="23"/>
      <c r="C223" s="23"/>
      <c r="D223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3" s="22"/>
      <c r="F223" s="36"/>
    </row>
    <row r="224" spans="1:6" x14ac:dyDescent="0.35">
      <c r="A224" s="35"/>
      <c r="B224" s="23"/>
      <c r="C224" s="23"/>
      <c r="D224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4" s="22"/>
      <c r="F224" s="36"/>
    </row>
    <row r="225" spans="1:6" x14ac:dyDescent="0.35">
      <c r="A225" s="35"/>
      <c r="B225" s="23"/>
      <c r="C225" s="23"/>
      <c r="D225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5" s="22"/>
      <c r="F225" s="36"/>
    </row>
    <row r="226" spans="1:6" x14ac:dyDescent="0.35">
      <c r="A226" s="35"/>
      <c r="B226" s="23"/>
      <c r="C226" s="23"/>
      <c r="D226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6" s="22"/>
      <c r="F226" s="36"/>
    </row>
    <row r="227" spans="1:6" x14ac:dyDescent="0.35">
      <c r="A227" s="35"/>
      <c r="B227" s="23"/>
      <c r="C227" s="23"/>
      <c r="D227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7" s="22"/>
      <c r="F227" s="36"/>
    </row>
    <row r="228" spans="1:6" x14ac:dyDescent="0.35">
      <c r="A228" s="37"/>
      <c r="B228" s="38"/>
      <c r="C228" s="38"/>
      <c r="D228" s="23">
        <f>Table23453456879111215141617181920212223242526272834567891011345678910111235111314[[#This Row],[Cash]]+Table23453456879111215141617181920212223242526272834567891011345678910111235111314[[#This Row],[Account Transfer]]</f>
        <v>0</v>
      </c>
      <c r="E228" s="39"/>
      <c r="F228" s="4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CF72-87A7-4A6F-9673-CED71C520681}">
  <dimension ref="A1:V48"/>
  <sheetViews>
    <sheetView zoomScale="90" zoomScaleNormal="90" workbookViewId="0">
      <pane ySplit="1" topLeftCell="A18" activePane="bottomLeft" state="frozen"/>
      <selection activeCell="H109" sqref="H109"/>
      <selection pane="bottomLeft" activeCell="C26" sqref="C26:C33"/>
    </sheetView>
  </sheetViews>
  <sheetFormatPr defaultColWidth="26" defaultRowHeight="14.5" x14ac:dyDescent="0.35"/>
  <cols>
    <col min="1" max="1" width="24.269531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309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Table234534568791112151416171819202122232425262728345678910113456789101112410121516[[#This Row],[Profit]]-Table234534568791112151416171819202122232425262728345678910113456789101112410121516[[#This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Table234534568791112151416171819202122232425262728345678910113456789101112410121516[[#This Row],[Account Transfer]]-Table234534568791112151416171819202122232425262728345678910113456789101112410121516[[#This Row],[Expense Online]]</f>
        <v>0</v>
      </c>
      <c r="L2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0</v>
      </c>
      <c r="M2" s="7">
        <f>Table234534568791112151416171819202122232425262728345678910113456789101112410121516[[#This Row],[Cash]]-Table234534568791112151416171819202122232425262728345678910113456789101112410121516[[#This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45870</v>
      </c>
      <c r="B3" s="7">
        <f>Table234534568791112151416171819202122232425262728345678910113456789101112410121516[[#This Row],[Profit]]-Table234534568791112151416171819202122232425262728345678910113456789101112410121516[[#This Row],[Mulbhag]]</f>
        <v>3320.2</v>
      </c>
      <c r="C3" s="28">
        <f>Table234534568791112151416171819202122232425262728345678910113456789101112410121516[[#This Row],[Profit]]/3</f>
        <v>1660.1000000000001</v>
      </c>
      <c r="D3" s="7">
        <f t="shared" si="0"/>
        <v>4980.3</v>
      </c>
      <c r="E3" s="7">
        <f t="shared" si="1"/>
        <v>11620.7</v>
      </c>
      <c r="F3" s="7">
        <f t="shared" si="2"/>
        <v>16601</v>
      </c>
      <c r="G3" s="7">
        <v>4740</v>
      </c>
      <c r="H3" s="7">
        <v>11861</v>
      </c>
      <c r="I3" s="7">
        <f>IFERROR(VLOOKUP(Table234534568791112151416171819202122232425262728345678910113456789101112410121516[[#This Row],[Date]],'Aug Expense'!H1:K248,3,0),0)</f>
        <v>1930</v>
      </c>
      <c r="J3" s="7">
        <f>IFERROR(VLOOKUP(Table234534568791112151416171819202122232425262728345678910113456789101112410121516[[#This Row],[Date]],'Aug Expense'!H1:K248,4,0),0)</f>
        <v>0</v>
      </c>
      <c r="K3" s="7">
        <f>Table234534568791112151416171819202122232425262728345678910113456789101112410121516[[#This Row],[Account Transfer]]-Table234534568791112151416171819202122232425262728345678910113456789101112410121516[[#This Row],[Expense Online]]</f>
        <v>11861</v>
      </c>
      <c r="L3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-2170.3000000000002</v>
      </c>
      <c r="M3" s="7">
        <f>Table234534568791112151416171819202122232425262728345678910113456789101112410121516[[#This Row],[Cash]]-Table234534568791112151416171819202122232425262728345678910113456789101112410121516[[#This Row],[Expense]]</f>
        <v>2810</v>
      </c>
      <c r="N3" s="45"/>
      <c r="O3" s="10">
        <f t="shared" ref="O3:O9" si="3">A3</f>
        <v>45870</v>
      </c>
      <c r="P3" s="11">
        <f>Q3/3</f>
        <v>1660.1000000000001</v>
      </c>
      <c r="Q3" s="11">
        <f>S3*0.3</f>
        <v>4980.3</v>
      </c>
      <c r="R3" s="11">
        <f t="shared" ref="R3:R9" si="4">S3-Q3</f>
        <v>11620.7</v>
      </c>
      <c r="S3" s="11">
        <f>T3+U3</f>
        <v>16601</v>
      </c>
      <c r="T3" s="11">
        <f t="shared" ref="T3:T9" si="5">VLOOKUP(O3,$A$1:$J$34,7,0)</f>
        <v>4740</v>
      </c>
      <c r="U3" s="11">
        <f t="shared" ref="U3:U9" si="6">VLOOKUP(O3,$A$1:$J$34,8,0)</f>
        <v>11861</v>
      </c>
      <c r="V3" s="11">
        <f t="shared" ref="V3:V9" si="7">VLOOKUP(O3,$A$1:$J$34,9,0)</f>
        <v>1930</v>
      </c>
    </row>
    <row r="4" spans="1:22" x14ac:dyDescent="0.35">
      <c r="A4" s="6">
        <v>45871</v>
      </c>
      <c r="B4" s="7">
        <f>Table234534568791112151416171819202122232425262728345678910113456789101112410121516[[#This Row],[Profit]]-Table234534568791112151416171819202122232425262728345678910113456789101112410121516[[#This Row],[Mulbhag]]</f>
        <v>4689</v>
      </c>
      <c r="C4" s="28">
        <f>Table234534568791112151416171819202122232425262728345678910113456789101112410121516[[#This Row],[Profit]]/3</f>
        <v>2344.5</v>
      </c>
      <c r="D4" s="7">
        <f t="shared" si="0"/>
        <v>7033.5</v>
      </c>
      <c r="E4" s="7">
        <f t="shared" si="1"/>
        <v>16411.5</v>
      </c>
      <c r="F4" s="7">
        <f t="shared" si="2"/>
        <v>23445</v>
      </c>
      <c r="G4" s="7">
        <v>3215</v>
      </c>
      <c r="H4" s="7">
        <v>20230</v>
      </c>
      <c r="I4" s="7">
        <f>IFERROR(VLOOKUP(Table234534568791112151416171819202122232425262728345678910113456789101112410121516[[#This Row],[Date]],'Aug Expense'!H2:K249,3,0),0)</f>
        <v>1140</v>
      </c>
      <c r="J4" s="7">
        <f>IFERROR(VLOOKUP(Table234534568791112151416171819202122232425262728345678910113456789101112410121516[[#This Row],[Date]],'Aug Expense'!H2:K249,4,0),0)</f>
        <v>0</v>
      </c>
      <c r="K4" s="7">
        <f>Table234534568791112151416171819202122232425262728345678910113456789101112410121516[[#This Row],[Account Transfer]]-Table234534568791112151416171819202122232425262728345678910113456789101112410121516[[#This Row],[Expense Online]]</f>
        <v>20230</v>
      </c>
      <c r="L4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-4958.5</v>
      </c>
      <c r="M4" s="7">
        <f>Table234534568791112151416171819202122232425262728345678910113456789101112410121516[[#This Row],[Cash]]-Table234534568791112151416171819202122232425262728345678910113456789101112410121516[[#This Row],[Expense]]</f>
        <v>2075</v>
      </c>
      <c r="N4" s="45"/>
      <c r="O4" s="8">
        <f t="shared" si="3"/>
        <v>45871</v>
      </c>
      <c r="P4" s="9">
        <f>Q4/3</f>
        <v>2344.5</v>
      </c>
      <c r="Q4" s="9">
        <f>S4*0.3</f>
        <v>7033.5</v>
      </c>
      <c r="R4" s="9">
        <f t="shared" si="4"/>
        <v>16411.5</v>
      </c>
      <c r="S4" s="9">
        <f t="shared" ref="S4:S9" si="8">T4+U4</f>
        <v>23445</v>
      </c>
      <c r="T4" s="9">
        <f t="shared" si="5"/>
        <v>3215</v>
      </c>
      <c r="U4" s="9">
        <f t="shared" si="6"/>
        <v>20230</v>
      </c>
      <c r="V4" s="9">
        <f t="shared" si="7"/>
        <v>1140</v>
      </c>
    </row>
    <row r="5" spans="1:22" x14ac:dyDescent="0.35">
      <c r="A5" s="6">
        <v>45872</v>
      </c>
      <c r="B5" s="7">
        <f>Table234534568791112151416171819202122232425262728345678910113456789101112410121516[[#This Row],[Profit]]-Table234534568791112151416171819202122232425262728345678910113456789101112410121516[[#This Row],[Mulbhag]]</f>
        <v>5891</v>
      </c>
      <c r="C5" s="28">
        <f>Table234534568791112151416171819202122232425262728345678910113456789101112410121516[[#This Row],[Profit]]/3</f>
        <v>2945.5</v>
      </c>
      <c r="D5" s="7">
        <f t="shared" si="0"/>
        <v>8836.5</v>
      </c>
      <c r="E5" s="7">
        <f t="shared" si="1"/>
        <v>20618.5</v>
      </c>
      <c r="F5" s="7">
        <f t="shared" si="2"/>
        <v>29455</v>
      </c>
      <c r="G5" s="7">
        <v>15300</v>
      </c>
      <c r="H5" s="7">
        <v>14155</v>
      </c>
      <c r="I5" s="7">
        <f>IFERROR(VLOOKUP(Table234534568791112151416171819202122232425262728345678910113456789101112410121516[[#This Row],[Date]],'Aug Expense'!H3:K250,3,0),0)</f>
        <v>1140</v>
      </c>
      <c r="J5" s="7">
        <f>IFERROR(VLOOKUP(Table234534568791112151416171819202122232425262728345678910113456789101112410121516[[#This Row],[Date]],'Aug Expense'!H3:K250,4,0),0)</f>
        <v>0</v>
      </c>
      <c r="K5" s="7">
        <f>Table234534568791112151416171819202122232425262728345678910113456789101112410121516[[#This Row],[Account Transfer]]-Table234534568791112151416171819202122232425262728345678910113456789101112410121516[[#This Row],[Expense Online]]</f>
        <v>14155</v>
      </c>
      <c r="L5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5323.5</v>
      </c>
      <c r="M5" s="7">
        <f>Table234534568791112151416171819202122232425262728345678910113456789101112410121516[[#This Row],[Cash]]-Table234534568791112151416171819202122232425262728345678910113456789101112410121516[[#This Row],[Expense]]</f>
        <v>14160</v>
      </c>
      <c r="N5" s="45"/>
      <c r="O5" s="10">
        <f t="shared" si="3"/>
        <v>45872</v>
      </c>
      <c r="P5" s="11">
        <f t="shared" ref="P5:P9" si="9">Q5/3</f>
        <v>2945.5</v>
      </c>
      <c r="Q5" s="11">
        <f t="shared" ref="Q5:Q9" si="10">S5*0.3</f>
        <v>8836.5</v>
      </c>
      <c r="R5" s="11">
        <f t="shared" si="4"/>
        <v>20618.5</v>
      </c>
      <c r="S5" s="11">
        <f t="shared" si="8"/>
        <v>29455</v>
      </c>
      <c r="T5" s="11">
        <f t="shared" si="5"/>
        <v>15300</v>
      </c>
      <c r="U5" s="11">
        <f t="shared" si="6"/>
        <v>14155</v>
      </c>
      <c r="V5" s="11">
        <f t="shared" si="7"/>
        <v>1140</v>
      </c>
    </row>
    <row r="6" spans="1:22" x14ac:dyDescent="0.35">
      <c r="A6" s="6">
        <v>45873</v>
      </c>
      <c r="B6" s="7">
        <f>Table234534568791112151416171819202122232425262728345678910113456789101112410121516[[#This Row],[Profit]]-Table234534568791112151416171819202122232425262728345678910113456789101112410121516[[#This Row],[Mulbhag]]</f>
        <v>740</v>
      </c>
      <c r="C6" s="28">
        <f>Table234534568791112151416171819202122232425262728345678910113456789101112410121516[[#This Row],[Profit]]/3</f>
        <v>370</v>
      </c>
      <c r="D6" s="7">
        <f t="shared" si="0"/>
        <v>1110</v>
      </c>
      <c r="E6" s="7">
        <f t="shared" si="1"/>
        <v>2590</v>
      </c>
      <c r="F6" s="7">
        <f t="shared" si="2"/>
        <v>3700</v>
      </c>
      <c r="G6" s="7">
        <v>2550</v>
      </c>
      <c r="H6" s="7">
        <v>1150</v>
      </c>
      <c r="I6" s="7">
        <f>IFERROR(VLOOKUP(Table234534568791112151416171819202122232425262728345678910113456789101112410121516[[#This Row],[Date]],'Aug Expense'!H4:K251,3,0),0)</f>
        <v>151320</v>
      </c>
      <c r="J6" s="7">
        <f>IFERROR(VLOOKUP(Table234534568791112151416171819202122232425262728345678910113456789101112410121516[[#This Row],[Date]],'Aug Expense'!H4:K251,4,0),0)</f>
        <v>0</v>
      </c>
      <c r="K6" s="7">
        <f>Table234534568791112151416171819202122232425262728345678910113456789101112410121516[[#This Row],[Account Transfer]]-Table234534568791112151416171819202122232425262728345678910113456789101112410121516[[#This Row],[Expense Online]]</f>
        <v>1150</v>
      </c>
      <c r="L6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-149880</v>
      </c>
      <c r="M6" s="7">
        <f>Table234534568791112151416171819202122232425262728345678910113456789101112410121516[[#This Row],[Cash]]-Table234534568791112151416171819202122232425262728345678910113456789101112410121516[[#This Row],[Expense]]</f>
        <v>-148770</v>
      </c>
      <c r="N6" s="45"/>
      <c r="O6" s="8">
        <f t="shared" si="3"/>
        <v>45873</v>
      </c>
      <c r="P6" s="9">
        <f t="shared" si="9"/>
        <v>370</v>
      </c>
      <c r="Q6" s="9">
        <f t="shared" si="10"/>
        <v>1110</v>
      </c>
      <c r="R6" s="9">
        <f t="shared" si="4"/>
        <v>2590</v>
      </c>
      <c r="S6" s="9">
        <f t="shared" si="8"/>
        <v>3700</v>
      </c>
      <c r="T6" s="9">
        <f t="shared" si="5"/>
        <v>2550</v>
      </c>
      <c r="U6" s="9">
        <f t="shared" si="6"/>
        <v>1150</v>
      </c>
      <c r="V6" s="9">
        <f t="shared" si="7"/>
        <v>151320</v>
      </c>
    </row>
    <row r="7" spans="1:22" x14ac:dyDescent="0.35">
      <c r="A7" s="6">
        <v>45874</v>
      </c>
      <c r="B7" s="7">
        <f>Table234534568791112151416171819202122232425262728345678910113456789101112410121516[[#This Row],[Profit]]-Table234534568791112151416171819202122232425262728345678910113456789101112410121516[[#This Row],[Mulbhag]]</f>
        <v>2448</v>
      </c>
      <c r="C7" s="28">
        <f>Table234534568791112151416171819202122232425262728345678910113456789101112410121516[[#This Row],[Profit]]/3</f>
        <v>1224</v>
      </c>
      <c r="D7" s="7">
        <f t="shared" si="0"/>
        <v>3672</v>
      </c>
      <c r="E7" s="7">
        <f t="shared" si="1"/>
        <v>8568</v>
      </c>
      <c r="F7" s="7">
        <f t="shared" si="2"/>
        <v>12240</v>
      </c>
      <c r="G7" s="7">
        <v>4310</v>
      </c>
      <c r="H7" s="7">
        <v>7930</v>
      </c>
      <c r="I7" s="7">
        <f>IFERROR(VLOOKUP(Table234534568791112151416171819202122232425262728345678910113456789101112410121516[[#This Row],[Date]],'Aug Expense'!H5:K252,3,0),0)</f>
        <v>4620</v>
      </c>
      <c r="J7" s="7">
        <f>IFERROR(VLOOKUP(Table234534568791112151416171819202122232425262728345678910113456789101112410121516[[#This Row],[Date]],'Aug Expense'!H5:K252,4,0),0)</f>
        <v>3370</v>
      </c>
      <c r="K7" s="7">
        <f>Table234534568791112151416171819202122232425262728345678910113456789101112410121516[[#This Row],[Account Transfer]]-Table234534568791112151416171819202122232425262728345678910113456789101112410121516[[#This Row],[Expense Online]]</f>
        <v>4560</v>
      </c>
      <c r="L7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-3982</v>
      </c>
      <c r="M7" s="7">
        <f>Table234534568791112151416171819202122232425262728345678910113456789101112410121516[[#This Row],[Cash]]-Table234534568791112151416171819202122232425262728345678910113456789101112410121516[[#This Row],[Expense]]</f>
        <v>-310</v>
      </c>
      <c r="N7" s="45"/>
      <c r="O7" s="10">
        <f t="shared" si="3"/>
        <v>45874</v>
      </c>
      <c r="P7" s="11">
        <f t="shared" si="9"/>
        <v>1224</v>
      </c>
      <c r="Q7" s="11">
        <f t="shared" si="10"/>
        <v>3672</v>
      </c>
      <c r="R7" s="11">
        <f t="shared" si="4"/>
        <v>8568</v>
      </c>
      <c r="S7" s="11">
        <f t="shared" si="8"/>
        <v>12240</v>
      </c>
      <c r="T7" s="11">
        <f t="shared" si="5"/>
        <v>4310</v>
      </c>
      <c r="U7" s="11">
        <f t="shared" si="6"/>
        <v>7930</v>
      </c>
      <c r="V7" s="11">
        <f t="shared" si="7"/>
        <v>4620</v>
      </c>
    </row>
    <row r="8" spans="1:22" x14ac:dyDescent="0.35">
      <c r="A8" s="6">
        <v>45875</v>
      </c>
      <c r="B8" s="7">
        <f>Table234534568791112151416171819202122232425262728345678910113456789101112410121516[[#This Row],[Profit]]-Table234534568791112151416171819202122232425262728345678910113456789101112410121516[[#This Row],[Mulbhag]]</f>
        <v>5329</v>
      </c>
      <c r="C8" s="28">
        <f>Table234534568791112151416171819202122232425262728345678910113456789101112410121516[[#This Row],[Profit]]/3</f>
        <v>2664.5</v>
      </c>
      <c r="D8" s="7">
        <f t="shared" si="0"/>
        <v>7993.5</v>
      </c>
      <c r="E8" s="7">
        <f t="shared" si="1"/>
        <v>18651.5</v>
      </c>
      <c r="F8" s="7">
        <f t="shared" si="2"/>
        <v>26645</v>
      </c>
      <c r="G8" s="7">
        <v>5290</v>
      </c>
      <c r="H8" s="7">
        <v>21355</v>
      </c>
      <c r="I8" s="7">
        <f>IFERROR(VLOOKUP(Table234534568791112151416171819202122232425262728345678910113456789101112410121516[[#This Row],[Date]],'Aug Expense'!H6:K253,3,0),0)</f>
        <v>5610</v>
      </c>
      <c r="J8" s="7">
        <f>IFERROR(VLOOKUP(Table234534568791112151416171819202122232425262728345678910113456789101112410121516[[#This Row],[Date]],'Aug Expense'!H6:K253,4,0),0)</f>
        <v>0</v>
      </c>
      <c r="K8" s="7">
        <f>Table234534568791112151416171819202122232425262728345678910113456789101112410121516[[#This Row],[Account Transfer]]-Table234534568791112151416171819202122232425262728345678910113456789101112410121516[[#This Row],[Expense Online]]</f>
        <v>21355</v>
      </c>
      <c r="L8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-8313.5</v>
      </c>
      <c r="M8" s="7">
        <f>Table234534568791112151416171819202122232425262728345678910113456789101112410121516[[#This Row],[Cash]]-Table234534568791112151416171819202122232425262728345678910113456789101112410121516[[#This Row],[Expense]]</f>
        <v>-320</v>
      </c>
      <c r="N8" s="45"/>
      <c r="O8" s="8">
        <f t="shared" si="3"/>
        <v>45875</v>
      </c>
      <c r="P8" s="9">
        <f t="shared" si="9"/>
        <v>2664.5</v>
      </c>
      <c r="Q8" s="9">
        <f t="shared" si="10"/>
        <v>7993.5</v>
      </c>
      <c r="R8" s="9">
        <f t="shared" si="4"/>
        <v>18651.5</v>
      </c>
      <c r="S8" s="9">
        <f t="shared" si="8"/>
        <v>26645</v>
      </c>
      <c r="T8" s="9">
        <f t="shared" si="5"/>
        <v>5290</v>
      </c>
      <c r="U8" s="9">
        <f t="shared" si="6"/>
        <v>21355</v>
      </c>
      <c r="V8" s="9">
        <f t="shared" si="7"/>
        <v>5610</v>
      </c>
    </row>
    <row r="9" spans="1:22" x14ac:dyDescent="0.35">
      <c r="A9" s="6">
        <v>45876</v>
      </c>
      <c r="B9" s="7">
        <f>Table234534568791112151416171819202122232425262728345678910113456789101112410121516[[#This Row],[Profit]]-Table234534568791112151416171819202122232425262728345678910113456789101112410121516[[#This Row],[Mulbhag]]</f>
        <v>4126</v>
      </c>
      <c r="C9" s="28">
        <f>Table234534568791112151416171819202122232425262728345678910113456789101112410121516[[#This Row],[Profit]]/3</f>
        <v>2063</v>
      </c>
      <c r="D9" s="7">
        <f t="shared" si="0"/>
        <v>6189</v>
      </c>
      <c r="E9" s="7">
        <f t="shared" si="1"/>
        <v>14441</v>
      </c>
      <c r="F9" s="7">
        <f t="shared" si="2"/>
        <v>20630</v>
      </c>
      <c r="G9" s="7">
        <v>8490</v>
      </c>
      <c r="H9" s="7">
        <v>12140</v>
      </c>
      <c r="I9" s="7">
        <f>IFERROR(VLOOKUP(Table234534568791112151416171819202122232425262728345678910113456789101112410121516[[#This Row],[Date]],'Aug Expense'!H7:K254,3,0),0)</f>
        <v>3500</v>
      </c>
      <c r="J9" s="7">
        <f>IFERROR(VLOOKUP(Table234534568791112151416171819202122232425262728345678910113456789101112410121516[[#This Row],[Date]],'Aug Expense'!H7:K254,4,0),0)</f>
        <v>29147</v>
      </c>
      <c r="K9" s="7">
        <f>Table234534568791112151416171819202122232425262728345678910113456789101112410121516[[#This Row],[Account Transfer]]-Table234534568791112151416171819202122232425262728345678910113456789101112410121516[[#This Row],[Expense Online]]</f>
        <v>-17007</v>
      </c>
      <c r="L9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-1199</v>
      </c>
      <c r="M9" s="7">
        <f>Table234534568791112151416171819202122232425262728345678910113456789101112410121516[[#This Row],[Cash]]-Table234534568791112151416171819202122232425262728345678910113456789101112410121516[[#This Row],[Expense]]</f>
        <v>4990</v>
      </c>
      <c r="N9" s="45"/>
      <c r="O9" s="10">
        <f t="shared" si="3"/>
        <v>45876</v>
      </c>
      <c r="P9" s="11">
        <f t="shared" si="9"/>
        <v>2063</v>
      </c>
      <c r="Q9" s="11">
        <f t="shared" si="10"/>
        <v>6189</v>
      </c>
      <c r="R9" s="11">
        <f t="shared" si="4"/>
        <v>14441</v>
      </c>
      <c r="S9" s="11">
        <f t="shared" si="8"/>
        <v>20630</v>
      </c>
      <c r="T9" s="11">
        <f t="shared" si="5"/>
        <v>8490</v>
      </c>
      <c r="U9" s="11">
        <f t="shared" si="6"/>
        <v>12140</v>
      </c>
      <c r="V9" s="11">
        <f t="shared" si="7"/>
        <v>3500</v>
      </c>
    </row>
    <row r="10" spans="1:22" x14ac:dyDescent="0.35">
      <c r="A10" s="6">
        <v>45877</v>
      </c>
      <c r="B10" s="7">
        <f>Table234534568791112151416171819202122232425262728345678910113456789101112410121516[[#This Row],[Profit]]-Table234534568791112151416171819202122232425262728345678910113456789101112410121516[[#This Row],[Mulbhag]]</f>
        <v>3488</v>
      </c>
      <c r="C10" s="28">
        <f>Table234534568791112151416171819202122232425262728345678910113456789101112410121516[[#This Row],[Profit]]/3</f>
        <v>1744</v>
      </c>
      <c r="D10" s="7">
        <f t="shared" si="0"/>
        <v>5232</v>
      </c>
      <c r="E10" s="7">
        <f t="shared" si="1"/>
        <v>12208</v>
      </c>
      <c r="F10" s="7">
        <f t="shared" si="2"/>
        <v>17440</v>
      </c>
      <c r="G10" s="7">
        <v>1570</v>
      </c>
      <c r="H10" s="7">
        <v>15870</v>
      </c>
      <c r="I10" s="7">
        <f>IFERROR(VLOOKUP(Table234534568791112151416171819202122232425262728345678910113456789101112410121516[[#This Row],[Date]],'Aug Expense'!H8:K255,3,0),0)</f>
        <v>2120</v>
      </c>
      <c r="J10" s="7">
        <f>IFERROR(VLOOKUP(Table234534568791112151416171819202122232425262728345678910113456789101112410121516[[#This Row],[Date]],'Aug Expense'!H8:K255,4,0),0)</f>
        <v>700</v>
      </c>
      <c r="K10" s="7">
        <f>Table234534568791112151416171819202122232425262728345678910113456789101112410121516[[#This Row],[Account Transfer]]-Table234534568791112151416171819202122232425262728345678910113456789101112410121516[[#This Row],[Expense Online]]</f>
        <v>15170</v>
      </c>
      <c r="L10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-5782</v>
      </c>
      <c r="M10" s="7">
        <f>Table234534568791112151416171819202122232425262728345678910113456789101112410121516[[#This Row],[Cash]]-Table234534568791112151416171819202122232425262728345678910113456789101112410121516[[#This Row],[Expense]]</f>
        <v>-550</v>
      </c>
      <c r="N10" s="45"/>
      <c r="O10" s="12" t="s">
        <v>3</v>
      </c>
      <c r="P10" s="12">
        <f>SUM(P3:P9)</f>
        <v>13271.6</v>
      </c>
      <c r="Q10" s="12">
        <f>SUM(Q3:Q9)</f>
        <v>39814.800000000003</v>
      </c>
      <c r="R10" s="12">
        <f>SUM(R2:R9)</f>
        <v>92901.2</v>
      </c>
      <c r="S10" s="12">
        <f>SUM(S2:S9)</f>
        <v>132716</v>
      </c>
      <c r="T10" s="12">
        <f>SUM(T2:T9)</f>
        <v>43895</v>
      </c>
      <c r="U10" s="12">
        <f>SUM(U2:U9)</f>
        <v>88821</v>
      </c>
      <c r="V10" s="12">
        <f>SUM(V2:V9)</f>
        <v>169260</v>
      </c>
    </row>
    <row r="11" spans="1:22" x14ac:dyDescent="0.35">
      <c r="A11" s="6">
        <v>45878</v>
      </c>
      <c r="B11" s="7">
        <f>Table234534568791112151416171819202122232425262728345678910113456789101112410121516[[#This Row],[Profit]]-Table234534568791112151416171819202122232425262728345678910113456789101112410121516[[#This Row],[Mulbhag]]</f>
        <v>2467.3999999999996</v>
      </c>
      <c r="C11" s="28">
        <f>Table234534568791112151416171819202122232425262728345678910113456789101112410121516[[#This Row],[Profit]]/3</f>
        <v>1233.7</v>
      </c>
      <c r="D11" s="7">
        <f t="shared" si="0"/>
        <v>3701.1</v>
      </c>
      <c r="E11" s="7">
        <f t="shared" si="1"/>
        <v>8635.9</v>
      </c>
      <c r="F11" s="7">
        <f t="shared" si="2"/>
        <v>12337</v>
      </c>
      <c r="G11" s="7">
        <v>6080</v>
      </c>
      <c r="H11" s="7">
        <v>6257</v>
      </c>
      <c r="I11" s="7">
        <f>IFERROR(VLOOKUP(Table234534568791112151416171819202122232425262728345678910113456789101112410121516[[#This Row],[Date]],'Aug Expense'!H9:K256,3,0),0)</f>
        <v>1120</v>
      </c>
      <c r="J11" s="7">
        <f>IFERROR(VLOOKUP(Table234534568791112151416171819202122232425262728345678910113456789101112410121516[[#This Row],[Date]],'Aug Expense'!H9:K256,4,0),0)</f>
        <v>0</v>
      </c>
      <c r="K11" s="7">
        <f>Table234534568791112151416171819202122232425262728345678910113456789101112410121516[[#This Row],[Account Transfer]]-Table234534568791112151416171819202122232425262728345678910113456789101112410121516[[#This Row],[Expense Online]]</f>
        <v>6257</v>
      </c>
      <c r="L11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1258.9000000000005</v>
      </c>
      <c r="M11" s="7">
        <f>Table234534568791112151416171819202122232425262728345678910113456789101112410121516[[#This Row],[Cash]]-Table234534568791112151416171819202122232425262728345678910113456789101112410121516[[#This Row],[Expense]]</f>
        <v>4960</v>
      </c>
      <c r="N11" s="45"/>
      <c r="O11" s="12" t="s">
        <v>7</v>
      </c>
      <c r="P11" s="12"/>
      <c r="Q11" s="12">
        <f>Q10/3</f>
        <v>13271.6</v>
      </c>
      <c r="R11" s="12"/>
      <c r="S11" s="12"/>
      <c r="T11" s="11"/>
      <c r="U11" s="11"/>
      <c r="V11" s="11"/>
    </row>
    <row r="12" spans="1:22" x14ac:dyDescent="0.35">
      <c r="A12" s="6">
        <v>45879</v>
      </c>
      <c r="B12" s="7">
        <f>Table234534568791112151416171819202122232425262728345678910113456789101112410121516[[#This Row],[Profit]]-Table234534568791112151416171819202122232425262728345678910113456789101112410121516[[#This Row],[Mulbhag]]</f>
        <v>4813.6000000000004</v>
      </c>
      <c r="C12" s="28">
        <f>Table234534568791112151416171819202122232425262728345678910113456789101112410121516[[#This Row],[Profit]]/3</f>
        <v>2406.7999999999997</v>
      </c>
      <c r="D12" s="7">
        <f t="shared" si="0"/>
        <v>7220.4</v>
      </c>
      <c r="E12" s="7">
        <f t="shared" si="1"/>
        <v>16847.599999999999</v>
      </c>
      <c r="F12" s="7">
        <f t="shared" si="2"/>
        <v>24068</v>
      </c>
      <c r="G12" s="7">
        <v>8210</v>
      </c>
      <c r="H12" s="7">
        <v>15858</v>
      </c>
      <c r="I12" s="7">
        <f>IFERROR(VLOOKUP(Table234534568791112151416171819202122232425262728345678910113456789101112410121516[[#This Row],[Date]],'Aug Expense'!H10:K257,3,0),0)</f>
        <v>3920</v>
      </c>
      <c r="J12" s="7">
        <f>IFERROR(VLOOKUP(Table234534568791112151416171819202122232425262728345678910113456789101112410121516[[#This Row],[Date]],'Aug Expense'!H10:K257,4,0),0)</f>
        <v>0</v>
      </c>
      <c r="K12" s="7">
        <f>Table234534568791112151416171819202122232425262728345678910113456789101112410121516[[#This Row],[Account Transfer]]-Table234534568791112151416171819202122232425262728345678910113456789101112410121516[[#This Row],[Expense Online]]</f>
        <v>15858</v>
      </c>
      <c r="L12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-2930.3999999999996</v>
      </c>
      <c r="M12" s="7">
        <f>Table234534568791112151416171819202122232425262728345678910113456789101112410121516[[#This Row],[Cash]]-Table234534568791112151416171819202122232425262728345678910113456789101112410121516[[#This Row],[Expense]]</f>
        <v>4290</v>
      </c>
      <c r="N12" s="45"/>
    </row>
    <row r="13" spans="1:22" x14ac:dyDescent="0.35">
      <c r="A13" s="6">
        <v>45880</v>
      </c>
      <c r="B13" s="7">
        <f>Table234534568791112151416171819202122232425262728345678910113456789101112410121516[[#This Row],[Profit]]-Table234534568791112151416171819202122232425262728345678910113456789101112410121516[[#This Row],[Mulbhag]]</f>
        <v>9850</v>
      </c>
      <c r="C13" s="28">
        <f>Table234534568791112151416171819202122232425262728345678910113456789101112410121516[[#This Row],[Profit]]/3</f>
        <v>4925</v>
      </c>
      <c r="D13" s="7">
        <f t="shared" si="0"/>
        <v>14775</v>
      </c>
      <c r="E13" s="7">
        <f t="shared" si="1"/>
        <v>34475</v>
      </c>
      <c r="F13" s="7">
        <f t="shared" si="2"/>
        <v>49250</v>
      </c>
      <c r="G13" s="7">
        <v>30900</v>
      </c>
      <c r="H13" s="7">
        <v>18350</v>
      </c>
      <c r="I13" s="7">
        <f>IFERROR(VLOOKUP(Table234534568791112151416171819202122232425262728345678910113456789101112410121516[[#This Row],[Date]],'Aug Expense'!H11:K258,3,0),0)</f>
        <v>4120</v>
      </c>
      <c r="J13" s="7">
        <f>IFERROR(VLOOKUP(Table234534568791112151416171819202122232425262728345678910113456789101112410121516[[#This Row],[Date]],'Aug Expense'!H11:K258,4,0),0)</f>
        <v>3875</v>
      </c>
      <c r="K13" s="7">
        <f>Table234534568791112151416171819202122232425262728345678910113456789101112410121516[[#This Row],[Account Transfer]]-Table234534568791112151416171819202122232425262728345678910113456789101112410121516[[#This Row],[Expense Online]]</f>
        <v>14475</v>
      </c>
      <c r="L13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12005</v>
      </c>
      <c r="M13" s="7">
        <f>Table234534568791112151416171819202122232425262728345678910113456789101112410121516[[#This Row],[Cash]]-Table234534568791112151416171819202122232425262728345678910113456789101112410121516[[#This Row],[Expense]]</f>
        <v>26780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45881</v>
      </c>
      <c r="B14" s="7">
        <f>Table234534568791112151416171819202122232425262728345678910113456789101112410121516[[#This Row],[Profit]]-Table234534568791112151416171819202122232425262728345678910113456789101112410121516[[#This Row],[Mulbhag]]</f>
        <v>4622</v>
      </c>
      <c r="C14" s="28">
        <f>Table234534568791112151416171819202122232425262728345678910113456789101112410121516[[#This Row],[Profit]]/3</f>
        <v>2311</v>
      </c>
      <c r="D14" s="7">
        <f t="shared" si="0"/>
        <v>6933</v>
      </c>
      <c r="E14" s="7">
        <f t="shared" si="1"/>
        <v>16177</v>
      </c>
      <c r="F14" s="7">
        <f t="shared" si="2"/>
        <v>23110</v>
      </c>
      <c r="G14" s="7">
        <v>10880</v>
      </c>
      <c r="H14" s="7">
        <v>12230</v>
      </c>
      <c r="I14" s="7">
        <f>IFERROR(VLOOKUP(Table234534568791112151416171819202122232425262728345678910113456789101112410121516[[#This Row],[Date]],'Aug Expense'!H12:K259,3,0),0)</f>
        <v>1120</v>
      </c>
      <c r="J14" s="7">
        <f>IFERROR(VLOOKUP(Table234534568791112151416171819202122232425262728345678910113456789101112410121516[[#This Row],[Date]],'Aug Expense'!H12:K259,4,0),0)</f>
        <v>1200</v>
      </c>
      <c r="K14" s="7">
        <f>Table234534568791112151416171819202122232425262728345678910113456789101112410121516[[#This Row],[Account Transfer]]-Table234534568791112151416171819202122232425262728345678910113456789101112410121516[[#This Row],[Expense Online]]</f>
        <v>11030</v>
      </c>
      <c r="L14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2827</v>
      </c>
      <c r="M14" s="7">
        <f>Table234534568791112151416171819202122232425262728345678910113456789101112410121516[[#This Row],[Cash]]-Table234534568791112151416171819202122232425262728345678910113456789101112410121516[[#This Row],[Expense]]</f>
        <v>9760</v>
      </c>
      <c r="N14" s="45"/>
      <c r="O14" s="10">
        <f t="shared" ref="O14:O20" si="11">A10</f>
        <v>45877</v>
      </c>
      <c r="P14" s="11">
        <f>Q14/3</f>
        <v>1744</v>
      </c>
      <c r="Q14" s="11">
        <f>S14*0.3</f>
        <v>5232</v>
      </c>
      <c r="R14" s="11">
        <f t="shared" ref="R14:R20" si="12">S14-Q14</f>
        <v>12208</v>
      </c>
      <c r="S14" s="11">
        <f>T14+U14</f>
        <v>17440</v>
      </c>
      <c r="T14" s="11">
        <f t="shared" ref="T14:T20" si="13">VLOOKUP(O14,$A$1:$J$34,7,0)</f>
        <v>1570</v>
      </c>
      <c r="U14" s="11">
        <f t="shared" ref="U14:U20" si="14">VLOOKUP(O14,$A$1:$J$34,8,0)</f>
        <v>15870</v>
      </c>
      <c r="V14" s="11">
        <f t="shared" ref="V14:V20" si="15">VLOOKUP(O14,$A$1:$J$34,9,0)</f>
        <v>2120</v>
      </c>
    </row>
    <row r="15" spans="1:22" x14ac:dyDescent="0.35">
      <c r="A15" s="6">
        <v>45882</v>
      </c>
      <c r="B15" s="7">
        <f>Table234534568791112151416171819202122232425262728345678910113456789101112410121516[[#This Row],[Profit]]-Table234534568791112151416171819202122232425262728345678910113456789101112410121516[[#This Row],[Mulbhag]]</f>
        <v>7064</v>
      </c>
      <c r="C15" s="28">
        <f>Table234534568791112151416171819202122232425262728345678910113456789101112410121516[[#This Row],[Profit]]/3</f>
        <v>3532</v>
      </c>
      <c r="D15" s="7">
        <f t="shared" si="0"/>
        <v>10596</v>
      </c>
      <c r="E15" s="7">
        <f t="shared" si="1"/>
        <v>24724</v>
      </c>
      <c r="F15" s="7">
        <f t="shared" si="2"/>
        <v>35320</v>
      </c>
      <c r="G15" s="7">
        <v>18100</v>
      </c>
      <c r="H15" s="7">
        <v>17220</v>
      </c>
      <c r="I15" s="7">
        <f>IFERROR(VLOOKUP(Table234534568791112151416171819202122232425262728345678910113456789101112410121516[[#This Row],[Date]],'Aug Expense'!H13:K260,3,0),0)</f>
        <v>7480</v>
      </c>
      <c r="J15" s="7">
        <f>IFERROR(VLOOKUP(Table234534568791112151416171819202122232425262728345678910113456789101112410121516[[#This Row],[Date]],'Aug Expense'!H13:K260,4,0),0)</f>
        <v>0</v>
      </c>
      <c r="K15" s="7">
        <f>Table234534568791112151416171819202122232425262728345678910113456789101112410121516[[#This Row],[Account Transfer]]-Table234534568791112151416171819202122232425262728345678910113456789101112410121516[[#This Row],[Expense Online]]</f>
        <v>17220</v>
      </c>
      <c r="L15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24</v>
      </c>
      <c r="M15" s="7">
        <f>Table234534568791112151416171819202122232425262728345678910113456789101112410121516[[#This Row],[Cash]]-Table234534568791112151416171819202122232425262728345678910113456789101112410121516[[#This Row],[Expense]]</f>
        <v>10620</v>
      </c>
      <c r="N15" s="45"/>
      <c r="O15" s="8">
        <f t="shared" si="11"/>
        <v>45878</v>
      </c>
      <c r="P15" s="9">
        <f>Q15/3</f>
        <v>1233.7</v>
      </c>
      <c r="Q15" s="9">
        <f>S15*0.3</f>
        <v>3701.1</v>
      </c>
      <c r="R15" s="9">
        <f t="shared" si="12"/>
        <v>8635.9</v>
      </c>
      <c r="S15" s="9">
        <f t="shared" ref="S15:S20" si="16">T15+U15</f>
        <v>12337</v>
      </c>
      <c r="T15" s="9">
        <f t="shared" si="13"/>
        <v>6080</v>
      </c>
      <c r="U15" s="9">
        <f t="shared" si="14"/>
        <v>6257</v>
      </c>
      <c r="V15" s="9">
        <f t="shared" si="15"/>
        <v>1120</v>
      </c>
    </row>
    <row r="16" spans="1:22" x14ac:dyDescent="0.35">
      <c r="A16" s="6">
        <v>45883</v>
      </c>
      <c r="B16" s="7">
        <f>Table234534568791112151416171819202122232425262728345678910113456789101112410121516[[#This Row],[Profit]]-Table234534568791112151416171819202122232425262728345678910113456789101112410121516[[#This Row],[Mulbhag]]</f>
        <v>3476</v>
      </c>
      <c r="C16" s="109">
        <f>Table234534568791112151416171819202122232425262728345678910113456789101112410121516[[#This Row],[Profit]]/3</f>
        <v>1738</v>
      </c>
      <c r="D16" s="7">
        <f t="shared" si="0"/>
        <v>5214</v>
      </c>
      <c r="E16" s="7">
        <f t="shared" si="1"/>
        <v>12166</v>
      </c>
      <c r="F16" s="7">
        <f t="shared" si="2"/>
        <v>17380</v>
      </c>
      <c r="G16" s="7">
        <v>4130</v>
      </c>
      <c r="H16" s="7">
        <v>13250</v>
      </c>
      <c r="I16" s="7">
        <f>IFERROR(VLOOKUP(Table234534568791112151416171819202122232425262728345678910113456789101112410121516[[#This Row],[Date]],'Aug Expense'!H14:K261,3,0),0)</f>
        <v>6140</v>
      </c>
      <c r="J16" s="7">
        <f>IFERROR(VLOOKUP(Table234534568791112151416171819202122232425262728345678910113456789101112410121516[[#This Row],[Date]],'Aug Expense'!H14:K261,4,0),0)</f>
        <v>0</v>
      </c>
      <c r="K16" s="7">
        <f>Table234534568791112151416171819202122232425262728345678910113456789101112410121516[[#This Row],[Account Transfer]]-Table234534568791112151416171819202122232425262728345678910113456789101112410121516[[#This Row],[Expense Online]]</f>
        <v>13250</v>
      </c>
      <c r="L16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-7224</v>
      </c>
      <c r="M16" s="7">
        <f>Table234534568791112151416171819202122232425262728345678910113456789101112410121516[[#This Row],[Cash]]-Table234534568791112151416171819202122232425262728345678910113456789101112410121516[[#This Row],[Expense]]</f>
        <v>-2010</v>
      </c>
      <c r="N16" s="45"/>
      <c r="O16" s="10">
        <f t="shared" si="11"/>
        <v>45879</v>
      </c>
      <c r="P16" s="11">
        <f t="shared" ref="P16:P20" si="17">Q16/3</f>
        <v>2406.7999999999997</v>
      </c>
      <c r="Q16" s="11">
        <f t="shared" ref="Q16:Q20" si="18">S16*0.3</f>
        <v>7220.4</v>
      </c>
      <c r="R16" s="11">
        <f t="shared" si="12"/>
        <v>16847.599999999999</v>
      </c>
      <c r="S16" s="11">
        <f t="shared" si="16"/>
        <v>24068</v>
      </c>
      <c r="T16" s="11">
        <f t="shared" si="13"/>
        <v>8210</v>
      </c>
      <c r="U16" s="11">
        <f t="shared" si="14"/>
        <v>15858</v>
      </c>
      <c r="V16" s="11">
        <f t="shared" si="15"/>
        <v>3920</v>
      </c>
    </row>
    <row r="17" spans="1:22" x14ac:dyDescent="0.35">
      <c r="A17" s="6">
        <v>45884</v>
      </c>
      <c r="B17" s="7">
        <f>Table234534568791112151416171819202122232425262728345678910113456789101112410121516[[#This Row],[Profit]]-Table234534568791112151416171819202122232425262728345678910113456789101112410121516[[#This Row],[Mulbhag]]</f>
        <v>1146</v>
      </c>
      <c r="C17" s="109">
        <f>Table234534568791112151416171819202122232425262728345678910113456789101112410121516[[#This Row],[Profit]]/3</f>
        <v>573</v>
      </c>
      <c r="D17" s="7">
        <f t="shared" si="0"/>
        <v>1719</v>
      </c>
      <c r="E17" s="7">
        <f t="shared" si="1"/>
        <v>4011</v>
      </c>
      <c r="F17" s="7">
        <f t="shared" si="2"/>
        <v>5730</v>
      </c>
      <c r="G17" s="7">
        <v>3460</v>
      </c>
      <c r="H17" s="7">
        <v>2270</v>
      </c>
      <c r="I17" s="7">
        <f>IFERROR(VLOOKUP(Table234534568791112151416171819202122232425262728345678910113456789101112410121516[[#This Row],[Date]],'Aug Expense'!H15:K262,3,0),0)</f>
        <v>1190</v>
      </c>
      <c r="J17" s="7">
        <f>IFERROR(VLOOKUP(Table234534568791112151416171819202122232425262728345678910113456789101112410121516[[#This Row],[Date]],'Aug Expense'!H15:K262,4,0),0)</f>
        <v>360</v>
      </c>
      <c r="K17" s="7">
        <f>Table234534568791112151416171819202122232425262728345678910113456789101112410121516[[#This Row],[Account Transfer]]-Table234534568791112151416171819202122232425262728345678910113456789101112410121516[[#This Row],[Expense Online]]</f>
        <v>1910</v>
      </c>
      <c r="L17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551</v>
      </c>
      <c r="M17" s="7">
        <f>Table234534568791112151416171819202122232425262728345678910113456789101112410121516[[#This Row],[Cash]]-Table234534568791112151416171819202122232425262728345678910113456789101112410121516[[#This Row],[Expense]]</f>
        <v>2270</v>
      </c>
      <c r="N17" s="45"/>
      <c r="O17" s="8">
        <f t="shared" si="11"/>
        <v>45880</v>
      </c>
      <c r="P17" s="9">
        <f t="shared" si="17"/>
        <v>4925</v>
      </c>
      <c r="Q17" s="9">
        <f t="shared" si="18"/>
        <v>14775</v>
      </c>
      <c r="R17" s="9">
        <f t="shared" si="12"/>
        <v>34475</v>
      </c>
      <c r="S17" s="9">
        <f t="shared" si="16"/>
        <v>49250</v>
      </c>
      <c r="T17" s="9">
        <f t="shared" si="13"/>
        <v>30900</v>
      </c>
      <c r="U17" s="9">
        <f t="shared" si="14"/>
        <v>18350</v>
      </c>
      <c r="V17" s="9">
        <f t="shared" si="15"/>
        <v>4120</v>
      </c>
    </row>
    <row r="18" spans="1:22" x14ac:dyDescent="0.35">
      <c r="A18" s="6">
        <v>45885</v>
      </c>
      <c r="B18" s="7">
        <f>Table234534568791112151416171819202122232425262728345678910113456789101112410121516[[#This Row],[Profit]]-Table234534568791112151416171819202122232425262728345678910113456789101112410121516[[#This Row],[Mulbhag]]</f>
        <v>4512</v>
      </c>
      <c r="C18" s="109">
        <f>Table234534568791112151416171819202122232425262728345678910113456789101112410121516[[#This Row],[Profit]]/3</f>
        <v>2256</v>
      </c>
      <c r="D18" s="7">
        <f t="shared" si="0"/>
        <v>6768</v>
      </c>
      <c r="E18" s="7">
        <f t="shared" si="1"/>
        <v>15792</v>
      </c>
      <c r="F18" s="7">
        <f t="shared" si="2"/>
        <v>22560</v>
      </c>
      <c r="G18" s="7">
        <v>4240</v>
      </c>
      <c r="H18" s="7">
        <v>18320</v>
      </c>
      <c r="I18" s="7">
        <f>IFERROR(VLOOKUP(Table234534568791112151416171819202122232425262728345678910113456789101112410121516[[#This Row],[Date]],'Aug Expense'!H16:K263,3,0),0)</f>
        <v>1680</v>
      </c>
      <c r="J18" s="7">
        <f>IFERROR(VLOOKUP(Table234534568791112151416171819202122232425262728345678910113456789101112410121516[[#This Row],[Date]],'Aug Expense'!H16:K263,4,0),0)</f>
        <v>0</v>
      </c>
      <c r="K18" s="7">
        <f>Table234534568791112151416171819202122232425262728345678910113456789101112410121516[[#This Row],[Account Transfer]]-Table234534568791112151416171819202122232425262728345678910113456789101112410121516[[#This Row],[Expense Online]]</f>
        <v>18320</v>
      </c>
      <c r="L18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-4208</v>
      </c>
      <c r="M18" s="7">
        <f>Table234534568791112151416171819202122232425262728345678910113456789101112410121516[[#This Row],[Cash]]-Table234534568791112151416171819202122232425262728345678910113456789101112410121516[[#This Row],[Expense]]</f>
        <v>2560</v>
      </c>
      <c r="N18" s="45"/>
      <c r="O18" s="10">
        <f t="shared" si="11"/>
        <v>45881</v>
      </c>
      <c r="P18" s="11">
        <f t="shared" si="17"/>
        <v>2311</v>
      </c>
      <c r="Q18" s="11">
        <f t="shared" si="18"/>
        <v>6933</v>
      </c>
      <c r="R18" s="11">
        <f t="shared" si="12"/>
        <v>16177</v>
      </c>
      <c r="S18" s="11">
        <f t="shared" si="16"/>
        <v>23110</v>
      </c>
      <c r="T18" s="11">
        <f t="shared" si="13"/>
        <v>10880</v>
      </c>
      <c r="U18" s="11">
        <f t="shared" si="14"/>
        <v>12230</v>
      </c>
      <c r="V18" s="11">
        <f t="shared" si="15"/>
        <v>1120</v>
      </c>
    </row>
    <row r="19" spans="1:22" x14ac:dyDescent="0.35">
      <c r="A19" s="6">
        <v>45886</v>
      </c>
      <c r="B19" s="7">
        <f>Table234534568791112151416171819202122232425262728345678910113456789101112410121516[[#This Row],[Profit]]-Table234534568791112151416171819202122232425262728345678910113456789101112410121516[[#This Row],[Mulbhag]]</f>
        <v>3889</v>
      </c>
      <c r="C19" s="109">
        <f>Table234534568791112151416171819202122232425262728345678910113456789101112410121516[[#This Row],[Profit]]/3</f>
        <v>1944.5</v>
      </c>
      <c r="D19" s="7">
        <f t="shared" si="0"/>
        <v>5833.5</v>
      </c>
      <c r="E19" s="7">
        <f t="shared" si="1"/>
        <v>13611.5</v>
      </c>
      <c r="F19" s="7">
        <f t="shared" si="2"/>
        <v>19445</v>
      </c>
      <c r="G19" s="7">
        <v>6600</v>
      </c>
      <c r="H19" s="7">
        <v>12845</v>
      </c>
      <c r="I19" s="7">
        <f>IFERROR(VLOOKUP(Table234534568791112151416171819202122232425262728345678910113456789101112410121516[[#This Row],[Date]],'Aug Expense'!H17:K264,3,0),0)</f>
        <v>150</v>
      </c>
      <c r="J19" s="7">
        <f>IFERROR(VLOOKUP(Table234534568791112151416171819202122232425262728345678910113456789101112410121516[[#This Row],[Date]],'Aug Expense'!H17:K264,4,0),0)</f>
        <v>0</v>
      </c>
      <c r="K19" s="7">
        <f>Table234534568791112151416171819202122232425262728345678910113456789101112410121516[[#This Row],[Account Transfer]]-Table234534568791112151416171819202122232425262728345678910113456789101112410121516[[#This Row],[Expense Online]]</f>
        <v>12845</v>
      </c>
      <c r="L19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616.5</v>
      </c>
      <c r="M19" s="7">
        <f>Table234534568791112151416171819202122232425262728345678910113456789101112410121516[[#This Row],[Cash]]-Table234534568791112151416171819202122232425262728345678910113456789101112410121516[[#This Row],[Expense]]</f>
        <v>6450</v>
      </c>
      <c r="N19" s="45"/>
      <c r="O19" s="8">
        <f t="shared" si="11"/>
        <v>45882</v>
      </c>
      <c r="P19" s="9">
        <f t="shared" si="17"/>
        <v>3532</v>
      </c>
      <c r="Q19" s="9">
        <f t="shared" si="18"/>
        <v>10596</v>
      </c>
      <c r="R19" s="9">
        <f t="shared" si="12"/>
        <v>24724</v>
      </c>
      <c r="S19" s="9">
        <f t="shared" si="16"/>
        <v>35320</v>
      </c>
      <c r="T19" s="9">
        <f t="shared" si="13"/>
        <v>18100</v>
      </c>
      <c r="U19" s="9">
        <f t="shared" si="14"/>
        <v>17220</v>
      </c>
      <c r="V19" s="9">
        <f t="shared" si="15"/>
        <v>7480</v>
      </c>
    </row>
    <row r="20" spans="1:22" x14ac:dyDescent="0.35">
      <c r="A20" s="6">
        <v>45887</v>
      </c>
      <c r="B20" s="7">
        <f>Table234534568791112151416171819202122232425262728345678910113456789101112410121516[[#This Row],[Profit]]-Table234534568791112151416171819202122232425262728345678910113456789101112410121516[[#This Row],[Mulbhag]]</f>
        <v>3630.5999999999995</v>
      </c>
      <c r="C20" s="109">
        <f>Table234534568791112151416171819202122232425262728345678910113456789101112410121516[[#This Row],[Profit]]/3</f>
        <v>1815.3</v>
      </c>
      <c r="D20" s="7">
        <f t="shared" si="0"/>
        <v>5445.9</v>
      </c>
      <c r="E20" s="7">
        <f t="shared" si="1"/>
        <v>12707.1</v>
      </c>
      <c r="F20" s="7">
        <f t="shared" si="2"/>
        <v>18153</v>
      </c>
      <c r="G20" s="7">
        <v>3628</v>
      </c>
      <c r="H20" s="7">
        <v>14525</v>
      </c>
      <c r="I20" s="7">
        <f>IFERROR(VLOOKUP(Table234534568791112151416171819202122232425262728345678910113456789101112410121516[[#This Row],[Date]],'Aug Expense'!H18:K265,3,0),0)</f>
        <v>2820</v>
      </c>
      <c r="J20" s="7">
        <f>IFERROR(VLOOKUP(Table234534568791112151416171819202122232425262728345678910113456789101112410121516[[#This Row],[Date]],'Aug Expense'!H18:K265,4,0),0)</f>
        <v>0</v>
      </c>
      <c r="K20" s="7">
        <f>Table234534568791112151416171819202122232425262728345678910113456789101112410121516[[#This Row],[Account Transfer]]-Table234534568791112151416171819202122232425262728345678910113456789101112410121516[[#This Row],[Expense Online]]</f>
        <v>14525</v>
      </c>
      <c r="L20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-4637.8999999999996</v>
      </c>
      <c r="M20" s="7">
        <f>Table234534568791112151416171819202122232425262728345678910113456789101112410121516[[#This Row],[Cash]]-Table234534568791112151416171819202122232425262728345678910113456789101112410121516[[#This Row],[Expense]]</f>
        <v>808</v>
      </c>
      <c r="N20" s="45"/>
      <c r="O20" s="10">
        <f t="shared" si="11"/>
        <v>45883</v>
      </c>
      <c r="P20" s="11">
        <f t="shared" si="17"/>
        <v>1738</v>
      </c>
      <c r="Q20" s="11">
        <f t="shared" si="18"/>
        <v>5214</v>
      </c>
      <c r="R20" s="11">
        <f t="shared" si="12"/>
        <v>12166</v>
      </c>
      <c r="S20" s="11">
        <f t="shared" si="16"/>
        <v>17380</v>
      </c>
      <c r="T20" s="11">
        <f t="shared" si="13"/>
        <v>4130</v>
      </c>
      <c r="U20" s="11">
        <f t="shared" si="14"/>
        <v>13250</v>
      </c>
      <c r="V20" s="11">
        <f t="shared" si="15"/>
        <v>6140</v>
      </c>
    </row>
    <row r="21" spans="1:22" x14ac:dyDescent="0.35">
      <c r="A21" s="6">
        <v>45888</v>
      </c>
      <c r="B21" s="7">
        <f>Table234534568791112151416171819202122232425262728345678910113456789101112410121516[[#This Row],[Profit]]-Table234534568791112151416171819202122232425262728345678910113456789101112410121516[[#This Row],[Mulbhag]]</f>
        <v>3940</v>
      </c>
      <c r="C21" s="109">
        <f>Table234534568791112151416171819202122232425262728345678910113456789101112410121516[[#This Row],[Profit]]/3</f>
        <v>1970</v>
      </c>
      <c r="D21" s="7">
        <f t="shared" si="0"/>
        <v>5910</v>
      </c>
      <c r="E21" s="7">
        <f t="shared" si="1"/>
        <v>13790</v>
      </c>
      <c r="F21" s="7">
        <f t="shared" si="2"/>
        <v>19700</v>
      </c>
      <c r="G21" s="7">
        <v>700</v>
      </c>
      <c r="H21" s="7">
        <v>19000</v>
      </c>
      <c r="I21" s="7">
        <f>IFERROR(VLOOKUP(Table234534568791112151416171819202122232425262728345678910113456789101112410121516[[#This Row],[Date]],'Aug Expense'!H19:K266,3,0),0)</f>
        <v>170</v>
      </c>
      <c r="J21" s="7">
        <f>IFERROR(VLOOKUP(Table234534568791112151416171819202122232425262728345678910113456789101112410121516[[#This Row],[Date]],'Aug Expense'!H19:K266,4,0),0)</f>
        <v>0</v>
      </c>
      <c r="K21" s="7">
        <f>Table234534568791112151416171819202122232425262728345678910113456789101112410121516[[#This Row],[Account Transfer]]-Table234534568791112151416171819202122232425262728345678910113456789101112410121516[[#This Row],[Expense Online]]</f>
        <v>19000</v>
      </c>
      <c r="L21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-5380</v>
      </c>
      <c r="M21" s="7">
        <f>Table234534568791112151416171819202122232425262728345678910113456789101112410121516[[#This Row],[Cash]]-Table234534568791112151416171819202122232425262728345678910113456789101112410121516[[#This Row],[Expense]]</f>
        <v>530</v>
      </c>
      <c r="N21" s="45"/>
      <c r="O21" s="12" t="s">
        <v>3</v>
      </c>
      <c r="P21" s="12">
        <f>SUM(P14:P20)</f>
        <v>17890.5</v>
      </c>
      <c r="Q21" s="12">
        <f t="shared" ref="Q21:V21" si="19">SUM(Q14:Q20)</f>
        <v>53671.5</v>
      </c>
      <c r="R21" s="12">
        <f t="shared" si="19"/>
        <v>125233.5</v>
      </c>
      <c r="S21" s="12">
        <f t="shared" si="19"/>
        <v>178905</v>
      </c>
      <c r="T21" s="12">
        <f t="shared" si="19"/>
        <v>79870</v>
      </c>
      <c r="U21" s="12">
        <f t="shared" si="19"/>
        <v>99035</v>
      </c>
      <c r="V21" s="12">
        <f t="shared" si="19"/>
        <v>26020</v>
      </c>
    </row>
    <row r="22" spans="1:22" x14ac:dyDescent="0.35">
      <c r="A22" s="6">
        <v>45889</v>
      </c>
      <c r="B22" s="7">
        <f>Table234534568791112151416171819202122232425262728345678910113456789101112410121516[[#This Row],[Profit]]-Table234534568791112151416171819202122232425262728345678910113456789101112410121516[[#This Row],[Mulbhag]]</f>
        <v>5216</v>
      </c>
      <c r="C22" s="109">
        <f>Table234534568791112151416171819202122232425262728345678910113456789101112410121516[[#This Row],[Profit]]/3</f>
        <v>2608</v>
      </c>
      <c r="D22" s="7">
        <f t="shared" si="0"/>
        <v>7824</v>
      </c>
      <c r="E22" s="7">
        <f t="shared" si="1"/>
        <v>18256</v>
      </c>
      <c r="F22" s="7">
        <f t="shared" si="2"/>
        <v>26080</v>
      </c>
      <c r="G22" s="7">
        <v>6120</v>
      </c>
      <c r="H22" s="7">
        <v>19960</v>
      </c>
      <c r="I22" s="7">
        <f>IFERROR(VLOOKUP(Table234534568791112151416171819202122232425262728345678910113456789101112410121516[[#This Row],[Date]],'Aug Expense'!H20:K267,3,0),0)</f>
        <v>1480</v>
      </c>
      <c r="J22" s="7">
        <f>IFERROR(VLOOKUP(Table234534568791112151416171819202122232425262728345678910113456789101112410121516[[#This Row],[Date]],'Aug Expense'!H20:K267,4,0),0)</f>
        <v>60000</v>
      </c>
      <c r="K22" s="7">
        <f>Table234534568791112151416171819202122232425262728345678910113456789101112410121516[[#This Row],[Account Transfer]]-Table234534568791112151416171819202122232425262728345678910113456789101112410121516[[#This Row],[Expense Online]]</f>
        <v>-40040</v>
      </c>
      <c r="L22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-3184</v>
      </c>
      <c r="M22" s="7">
        <f>Table234534568791112151416171819202122232425262728345678910113456789101112410121516[[#This Row],[Cash]]-Table234534568791112151416171819202122232425262728345678910113456789101112410121516[[#This Row],[Expense]]</f>
        <v>4640</v>
      </c>
      <c r="N22" s="45"/>
      <c r="O22" s="12" t="s">
        <v>7</v>
      </c>
      <c r="P22" s="12"/>
      <c r="Q22" s="12">
        <f>Q21/3</f>
        <v>17890.5</v>
      </c>
      <c r="R22" s="12"/>
      <c r="S22" s="12">
        <f>R22+Q22</f>
        <v>17890.5</v>
      </c>
      <c r="T22" s="11"/>
      <c r="U22" s="11"/>
      <c r="V22" s="11"/>
    </row>
    <row r="23" spans="1:22" x14ac:dyDescent="0.35">
      <c r="A23" s="6">
        <v>45890</v>
      </c>
      <c r="B23" s="7">
        <f>Table234534568791112151416171819202122232425262728345678910113456789101112410121516[[#This Row],[Profit]]-Table234534568791112151416171819202122232425262728345678910113456789101112410121516[[#This Row],[Mulbhag]]</f>
        <v>6660</v>
      </c>
      <c r="C23" s="109">
        <f>Table234534568791112151416171819202122232425262728345678910113456789101112410121516[[#This Row],[Profit]]/3</f>
        <v>3330</v>
      </c>
      <c r="D23" s="7">
        <f t="shared" si="0"/>
        <v>9990</v>
      </c>
      <c r="E23" s="7">
        <f t="shared" si="1"/>
        <v>23310</v>
      </c>
      <c r="F23" s="7">
        <f t="shared" si="2"/>
        <v>33300</v>
      </c>
      <c r="G23" s="7">
        <v>2900</v>
      </c>
      <c r="H23" s="7">
        <v>30400</v>
      </c>
      <c r="I23" s="7">
        <f>IFERROR(VLOOKUP(Table234534568791112151416171819202122232425262728345678910113456789101112410121516[[#This Row],[Date]],'Aug Expense'!H21:K268,3,0),0)</f>
        <v>6150</v>
      </c>
      <c r="J23" s="7">
        <f>IFERROR(VLOOKUP(Table234534568791112151416171819202122232425262728345678910113456789101112410121516[[#This Row],[Date]],'Aug Expense'!H21:K268,4,0),0)</f>
        <v>3820</v>
      </c>
      <c r="K23" s="7">
        <f>Table234534568791112151416171819202122232425262728345678910113456789101112410121516[[#This Row],[Account Transfer]]-Table234534568791112151416171819202122232425262728345678910113456789101112410121516[[#This Row],[Expense Online]]</f>
        <v>26580</v>
      </c>
      <c r="L23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-13240</v>
      </c>
      <c r="M23" s="7">
        <f>Table234534568791112151416171819202122232425262728345678910113456789101112410121516[[#This Row],[Cash]]-Table234534568791112151416171819202122232425262728345678910113456789101112410121516[[#This Row],[Expense]]</f>
        <v>-3250</v>
      </c>
      <c r="N23" s="45"/>
    </row>
    <row r="24" spans="1:22" x14ac:dyDescent="0.35">
      <c r="A24" s="6">
        <v>45891</v>
      </c>
      <c r="B24" s="7">
        <f>Table234534568791112151416171819202122232425262728345678910113456789101112410121516[[#This Row],[Profit]]-Table234534568791112151416171819202122232425262728345678910113456789101112410121516[[#This Row],[Mulbhag]]</f>
        <v>1680</v>
      </c>
      <c r="C24" s="109">
        <f>Table234534568791112151416171819202122232425262728345678910113456789101112410121516[[#This Row],[Profit]]/3</f>
        <v>840</v>
      </c>
      <c r="D24" s="7">
        <f t="shared" si="0"/>
        <v>2520</v>
      </c>
      <c r="E24" s="7">
        <f t="shared" si="1"/>
        <v>5880</v>
      </c>
      <c r="F24" s="7">
        <f t="shared" si="2"/>
        <v>8400</v>
      </c>
      <c r="G24" s="7">
        <v>4700</v>
      </c>
      <c r="H24" s="7">
        <v>3700</v>
      </c>
      <c r="I24" s="7">
        <f>IFERROR(VLOOKUP(Table234534568791112151416171819202122232425262728345678910113456789101112410121516[[#This Row],[Date]],'Aug Expense'!H22:K269,3,0),0)</f>
        <v>1150</v>
      </c>
      <c r="J24" s="7">
        <f>IFERROR(VLOOKUP(Table234534568791112151416171819202122232425262728345678910113456789101112410121516[[#This Row],[Date]],'Aug Expense'!H22:K269,4,0),0)</f>
        <v>75000</v>
      </c>
      <c r="K24" s="7">
        <f>Table234534568791112151416171819202122232425262728345678910113456789101112410121516[[#This Row],[Account Transfer]]-Table234534568791112151416171819202122232425262728345678910113456789101112410121516[[#This Row],[Expense Online]]</f>
        <v>-71300</v>
      </c>
      <c r="L24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1030</v>
      </c>
      <c r="M24" s="7">
        <f>Table234534568791112151416171819202122232425262728345678910113456789101112410121516[[#This Row],[Cash]]-Table234534568791112151416171819202122232425262728345678910113456789101112410121516[[#This Row],[Expense]]</f>
        <v>3550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45892</v>
      </c>
      <c r="B25" s="7">
        <f>Table234534568791112151416171819202122232425262728345678910113456789101112410121516[[#This Row],[Profit]]-Table234534568791112151416171819202122232425262728345678910113456789101112410121516[[#This Row],[Mulbhag]]</f>
        <v>2569</v>
      </c>
      <c r="C25" s="109">
        <f>Table234534568791112151416171819202122232425262728345678910113456789101112410121516[[#This Row],[Profit]]/3</f>
        <v>1284.5</v>
      </c>
      <c r="D25" s="7">
        <f t="shared" si="0"/>
        <v>3853.5</v>
      </c>
      <c r="E25" s="7">
        <f t="shared" si="1"/>
        <v>8991.5</v>
      </c>
      <c r="F25" s="7">
        <f t="shared" si="2"/>
        <v>12845</v>
      </c>
      <c r="G25" s="7">
        <v>3500</v>
      </c>
      <c r="H25" s="7">
        <v>9345</v>
      </c>
      <c r="I25" s="7">
        <f>IFERROR(VLOOKUP(Table234534568791112151416171819202122232425262728345678910113456789101112410121516[[#This Row],[Date]],'Aug Expense'!H23:K270,3,0),0)</f>
        <v>7650</v>
      </c>
      <c r="J25" s="7">
        <f>IFERROR(VLOOKUP(Table234534568791112151416171819202122232425262728345678910113456789101112410121516[[#This Row],[Date]],'Aug Expense'!H23:K270,4,0),0)</f>
        <v>0</v>
      </c>
      <c r="K25" s="7">
        <f>Table234534568791112151416171819202122232425262728345678910113456789101112410121516[[#This Row],[Account Transfer]]-Table234534568791112151416171819202122232425262728345678910113456789101112410121516[[#This Row],[Expense Online]]</f>
        <v>9345</v>
      </c>
      <c r="L25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-8003.5</v>
      </c>
      <c r="M25" s="7">
        <f>Table234534568791112151416171819202122232425262728345678910113456789101112410121516[[#This Row],[Cash]]-Table234534568791112151416171819202122232425262728345678910113456789101112410121516[[#This Row],[Expense]]</f>
        <v>-4150</v>
      </c>
      <c r="N25" s="45"/>
      <c r="O25" s="10">
        <f t="shared" ref="O25:O31" si="20">A17</f>
        <v>45884</v>
      </c>
      <c r="P25" s="11">
        <f>Q25/3</f>
        <v>573</v>
      </c>
      <c r="Q25" s="11">
        <f>S25*0.3</f>
        <v>1719</v>
      </c>
      <c r="R25" s="11">
        <f t="shared" ref="R25:R31" si="21">S25-Q25</f>
        <v>4011</v>
      </c>
      <c r="S25" s="11">
        <f>T25+U25</f>
        <v>5730</v>
      </c>
      <c r="T25" s="11">
        <f t="shared" ref="T25:T31" si="22">VLOOKUP(O25,$A$1:$J$34,7,0)</f>
        <v>3460</v>
      </c>
      <c r="U25" s="11">
        <f t="shared" ref="U25:U31" si="23">VLOOKUP(O25,$A$1:$J$34,8,0)</f>
        <v>2270</v>
      </c>
      <c r="V25" s="11">
        <f t="shared" ref="V25:V31" si="24">VLOOKUP(O25,$A$1:$J$34,9,0)</f>
        <v>1190</v>
      </c>
    </row>
    <row r="26" spans="1:22" x14ac:dyDescent="0.35">
      <c r="A26" s="6">
        <v>45893</v>
      </c>
      <c r="B26" s="7">
        <f>Table234534568791112151416171819202122232425262728345678910113456789101112410121516[[#This Row],[Profit]]-Table234534568791112151416171819202122232425262728345678910113456789101112410121516[[#This Row],[Mulbhag]]</f>
        <v>4360</v>
      </c>
      <c r="C26" s="28">
        <f>Table234534568791112151416171819202122232425262728345678910113456789101112410121516[[#This Row],[Profit]]/3</f>
        <v>2180</v>
      </c>
      <c r="D26" s="7">
        <f t="shared" si="0"/>
        <v>6540</v>
      </c>
      <c r="E26" s="7">
        <f t="shared" si="1"/>
        <v>15260</v>
      </c>
      <c r="F26" s="7">
        <f t="shared" si="2"/>
        <v>21800</v>
      </c>
      <c r="G26" s="7">
        <v>8740</v>
      </c>
      <c r="H26" s="7">
        <v>13060</v>
      </c>
      <c r="I26" s="7">
        <f>IFERROR(VLOOKUP(Table234534568791112151416171819202122232425262728345678910113456789101112410121516[[#This Row],[Date]],'Aug Expense'!H24:K271,3,0),0)</f>
        <v>3350</v>
      </c>
      <c r="J26" s="7">
        <f>IFERROR(VLOOKUP(Table234534568791112151416171819202122232425262728345678910113456789101112410121516[[#This Row],[Date]],'Aug Expense'!H24:K271,4,0),0)</f>
        <v>0</v>
      </c>
      <c r="K26" s="7">
        <f>Table234534568791112151416171819202122232425262728345678910113456789101112410121516[[#This Row],[Account Transfer]]-Table234534568791112151416171819202122232425262728345678910113456789101112410121516[[#This Row],[Expense Online]]</f>
        <v>13060</v>
      </c>
      <c r="L26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-1150</v>
      </c>
      <c r="M26" s="7">
        <f>Table234534568791112151416171819202122232425262728345678910113456789101112410121516[[#This Row],[Cash]]-Table234534568791112151416171819202122232425262728345678910113456789101112410121516[[#This Row],[Expense]]</f>
        <v>5390</v>
      </c>
      <c r="N26" s="45"/>
      <c r="O26" s="8">
        <f t="shared" si="20"/>
        <v>45885</v>
      </c>
      <c r="P26" s="9">
        <f>Q26/3</f>
        <v>2256</v>
      </c>
      <c r="Q26" s="9">
        <f>S26*0.3</f>
        <v>6768</v>
      </c>
      <c r="R26" s="9">
        <f t="shared" si="21"/>
        <v>15792</v>
      </c>
      <c r="S26" s="9">
        <f t="shared" ref="S26:S31" si="25">T26+U26</f>
        <v>22560</v>
      </c>
      <c r="T26" s="9">
        <f t="shared" si="22"/>
        <v>4240</v>
      </c>
      <c r="U26" s="9">
        <f t="shared" si="23"/>
        <v>18320</v>
      </c>
      <c r="V26" s="9">
        <f t="shared" si="24"/>
        <v>1680</v>
      </c>
    </row>
    <row r="27" spans="1:22" x14ac:dyDescent="0.35">
      <c r="A27" s="6">
        <v>45894</v>
      </c>
      <c r="B27" s="7">
        <f>Table234534568791112151416171819202122232425262728345678910113456789101112410121516[[#This Row],[Profit]]-Table234534568791112151416171819202122232425262728345678910113456789101112410121516[[#This Row],[Mulbhag]]</f>
        <v>3074</v>
      </c>
      <c r="C27" s="28">
        <f>Table234534568791112151416171819202122232425262728345678910113456789101112410121516[[#This Row],[Profit]]/3</f>
        <v>1537</v>
      </c>
      <c r="D27" s="7">
        <f t="shared" si="0"/>
        <v>4611</v>
      </c>
      <c r="E27" s="7">
        <f t="shared" si="1"/>
        <v>10759</v>
      </c>
      <c r="F27" s="7">
        <f t="shared" si="2"/>
        <v>15370</v>
      </c>
      <c r="G27" s="7">
        <v>8020</v>
      </c>
      <c r="H27" s="7">
        <v>7350</v>
      </c>
      <c r="I27" s="7">
        <f>IFERROR(VLOOKUP(Table234534568791112151416171819202122232425262728345678910113456789101112410121516[[#This Row],[Date]],'Aug Expense'!H25:K272,3,0),0)</f>
        <v>1150</v>
      </c>
      <c r="J27" s="7">
        <f>IFERROR(VLOOKUP(Table234534568791112151416171819202122232425262728345678910113456789101112410121516[[#This Row],[Date]],'Aug Expense'!H25:K272,4,0),0)</f>
        <v>0</v>
      </c>
      <c r="K27" s="7">
        <f>Table234534568791112151416171819202122232425262728345678910113456789101112410121516[[#This Row],[Account Transfer]]-Table234534568791112151416171819202122232425262728345678910113456789101112410121516[[#This Row],[Expense Online]]</f>
        <v>7350</v>
      </c>
      <c r="L27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2259</v>
      </c>
      <c r="M27" s="7">
        <f>Table234534568791112151416171819202122232425262728345678910113456789101112410121516[[#This Row],[Cash]]-Table234534568791112151416171819202122232425262728345678910113456789101112410121516[[#This Row],[Expense]]</f>
        <v>6870</v>
      </c>
      <c r="N27" s="45"/>
      <c r="O27" s="10">
        <f t="shared" si="20"/>
        <v>45886</v>
      </c>
      <c r="P27" s="11">
        <f t="shared" ref="P27:P31" si="26">Q27/3</f>
        <v>1944.5</v>
      </c>
      <c r="Q27" s="11">
        <f t="shared" ref="Q27:Q31" si="27">S27*0.3</f>
        <v>5833.5</v>
      </c>
      <c r="R27" s="11">
        <f t="shared" si="21"/>
        <v>13611.5</v>
      </c>
      <c r="S27" s="11">
        <f t="shared" si="25"/>
        <v>19445</v>
      </c>
      <c r="T27" s="11">
        <f t="shared" si="22"/>
        <v>6600</v>
      </c>
      <c r="U27" s="11">
        <f t="shared" si="23"/>
        <v>12845</v>
      </c>
      <c r="V27" s="11">
        <f t="shared" si="24"/>
        <v>150</v>
      </c>
    </row>
    <row r="28" spans="1:22" x14ac:dyDescent="0.35">
      <c r="A28" s="6">
        <v>45895</v>
      </c>
      <c r="B28" s="7">
        <f>Table234534568791112151416171819202122232425262728345678910113456789101112410121516[[#This Row],[Profit]]-Table234534568791112151416171819202122232425262728345678910113456789101112410121516[[#This Row],[Mulbhag]]</f>
        <v>1996</v>
      </c>
      <c r="C28" s="28">
        <f>Table234534568791112151416171819202122232425262728345678910113456789101112410121516[[#This Row],[Profit]]/3</f>
        <v>998</v>
      </c>
      <c r="D28" s="7">
        <f t="shared" si="0"/>
        <v>2994</v>
      </c>
      <c r="E28" s="7">
        <f t="shared" si="1"/>
        <v>6986</v>
      </c>
      <c r="F28" s="7">
        <f t="shared" si="2"/>
        <v>9980</v>
      </c>
      <c r="G28" s="7">
        <v>680</v>
      </c>
      <c r="H28" s="7">
        <v>9300</v>
      </c>
      <c r="I28" s="7">
        <f>IFERROR(VLOOKUP(Table234534568791112151416171819202122232425262728345678910113456789101112410121516[[#This Row],[Date]],'Aug Expense'!H26:K273,3,0),0)</f>
        <v>0</v>
      </c>
      <c r="J28" s="7">
        <f>IFERROR(VLOOKUP(Table234534568791112151416171819202122232425262728345678910113456789101112410121516[[#This Row],[Date]],'Aug Expense'!H26:K273,4,0),0)</f>
        <v>0</v>
      </c>
      <c r="K28" s="7">
        <f>Table234534568791112151416171819202122232425262728345678910113456789101112410121516[[#This Row],[Account Transfer]]-Table234534568791112151416171819202122232425262728345678910113456789101112410121516[[#This Row],[Expense Online]]</f>
        <v>9300</v>
      </c>
      <c r="L28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-2314</v>
      </c>
      <c r="M28" s="7">
        <f>Table234534568791112151416171819202122232425262728345678910113456789101112410121516[[#This Row],[Cash]]-Table234534568791112151416171819202122232425262728345678910113456789101112410121516[[#This Row],[Expense]]</f>
        <v>680</v>
      </c>
      <c r="N28" s="45"/>
      <c r="O28" s="8">
        <f t="shared" si="20"/>
        <v>45887</v>
      </c>
      <c r="P28" s="9">
        <f t="shared" si="26"/>
        <v>1815.3</v>
      </c>
      <c r="Q28" s="9">
        <f t="shared" si="27"/>
        <v>5445.9</v>
      </c>
      <c r="R28" s="9">
        <f t="shared" si="21"/>
        <v>12707.1</v>
      </c>
      <c r="S28" s="9">
        <f t="shared" si="25"/>
        <v>18153</v>
      </c>
      <c r="T28" s="9">
        <f t="shared" si="22"/>
        <v>3628</v>
      </c>
      <c r="U28" s="9">
        <f t="shared" si="23"/>
        <v>14525</v>
      </c>
      <c r="V28" s="9">
        <f t="shared" si="24"/>
        <v>2820</v>
      </c>
    </row>
    <row r="29" spans="1:22" x14ac:dyDescent="0.35">
      <c r="A29" s="6">
        <v>45896</v>
      </c>
      <c r="B29" s="7">
        <f>Table234534568791112151416171819202122232425262728345678910113456789101112410121516[[#This Row],[Profit]]-Table234534568791112151416171819202122232425262728345678910113456789101112410121516[[#This Row],[Mulbhag]]</f>
        <v>1296</v>
      </c>
      <c r="C29" s="28">
        <f>Table234534568791112151416171819202122232425262728345678910113456789101112410121516[[#This Row],[Profit]]/3</f>
        <v>648</v>
      </c>
      <c r="D29" s="7">
        <f t="shared" si="0"/>
        <v>1944</v>
      </c>
      <c r="E29" s="7">
        <f t="shared" si="1"/>
        <v>4536</v>
      </c>
      <c r="F29" s="7">
        <f t="shared" si="2"/>
        <v>6480</v>
      </c>
      <c r="G29" s="7">
        <v>2270</v>
      </c>
      <c r="H29" s="7">
        <v>4210</v>
      </c>
      <c r="I29" s="7">
        <f>IFERROR(VLOOKUP(Table234534568791112151416171819202122232425262728345678910113456789101112410121516[[#This Row],[Date]],'Aug Expense'!H27:K274,3,0),0)</f>
        <v>0</v>
      </c>
      <c r="J29" s="7">
        <f>IFERROR(VLOOKUP(Table234534568791112151416171819202122232425262728345678910113456789101112410121516[[#This Row],[Date]],'Aug Expense'!H27:K274,4,0),0)</f>
        <v>0</v>
      </c>
      <c r="K29" s="7">
        <f>Table234534568791112151416171819202122232425262728345678910113456789101112410121516[[#This Row],[Account Transfer]]-Table234534568791112151416171819202122232425262728345678910113456789101112410121516[[#This Row],[Expense Online]]</f>
        <v>4210</v>
      </c>
      <c r="L29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326</v>
      </c>
      <c r="M29" s="7">
        <f>Table234534568791112151416171819202122232425262728345678910113456789101112410121516[[#This Row],[Cash]]-Table234534568791112151416171819202122232425262728345678910113456789101112410121516[[#This Row],[Expense]]</f>
        <v>2270</v>
      </c>
      <c r="N29" s="45"/>
      <c r="O29" s="10">
        <f t="shared" si="20"/>
        <v>45888</v>
      </c>
      <c r="P29" s="11">
        <f t="shared" si="26"/>
        <v>1970</v>
      </c>
      <c r="Q29" s="11">
        <f t="shared" si="27"/>
        <v>5910</v>
      </c>
      <c r="R29" s="11">
        <f t="shared" si="21"/>
        <v>13790</v>
      </c>
      <c r="S29" s="11">
        <f t="shared" si="25"/>
        <v>19700</v>
      </c>
      <c r="T29" s="11">
        <f t="shared" si="22"/>
        <v>700</v>
      </c>
      <c r="U29" s="11">
        <f t="shared" si="23"/>
        <v>19000</v>
      </c>
      <c r="V29" s="11">
        <f t="shared" si="24"/>
        <v>170</v>
      </c>
    </row>
    <row r="30" spans="1:22" x14ac:dyDescent="0.35">
      <c r="A30" s="6">
        <v>45897</v>
      </c>
      <c r="B30" s="7">
        <f>Table234534568791112151416171819202122232425262728345678910113456789101112410121516[[#This Row],[Profit]]-Table234534568791112151416171819202122232425262728345678910113456789101112410121516[[#This Row],[Mulbhag]]</f>
        <v>2365</v>
      </c>
      <c r="C30" s="28">
        <f>Table234534568791112151416171819202122232425262728345678910113456789101112410121516[[#This Row],[Profit]]/3</f>
        <v>1182.5</v>
      </c>
      <c r="D30" s="7">
        <f t="shared" si="0"/>
        <v>3547.5</v>
      </c>
      <c r="E30" s="7">
        <f t="shared" si="1"/>
        <v>8277.5</v>
      </c>
      <c r="F30" s="7">
        <f t="shared" si="2"/>
        <v>11825</v>
      </c>
      <c r="G30" s="7">
        <v>6000</v>
      </c>
      <c r="H30" s="7">
        <v>5825</v>
      </c>
      <c r="I30" s="7">
        <f>IFERROR(VLOOKUP(Table234534568791112151416171819202122232425262728345678910113456789101112410121516[[#This Row],[Date]],'Aug Expense'!H28:K275,3,0),0)</f>
        <v>0</v>
      </c>
      <c r="J30" s="7">
        <f>IFERROR(VLOOKUP(Table234534568791112151416171819202122232425262728345678910113456789101112410121516[[#This Row],[Date]],'Aug Expense'!H28:K275,4,0),0)</f>
        <v>0</v>
      </c>
      <c r="K30" s="7">
        <f>Table234534568791112151416171819202122232425262728345678910113456789101112410121516[[#This Row],[Account Transfer]]-Table234534568791112151416171819202122232425262728345678910113456789101112410121516[[#This Row],[Expense Online]]</f>
        <v>5825</v>
      </c>
      <c r="L30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2452.5</v>
      </c>
      <c r="M30" s="7">
        <f>Table234534568791112151416171819202122232425262728345678910113456789101112410121516[[#This Row],[Cash]]-Table234534568791112151416171819202122232425262728345678910113456789101112410121516[[#This Row],[Expense]]</f>
        <v>6000</v>
      </c>
      <c r="N30" s="45"/>
      <c r="O30" s="8">
        <f t="shared" si="20"/>
        <v>45889</v>
      </c>
      <c r="P30" s="9">
        <f t="shared" si="26"/>
        <v>2608</v>
      </c>
      <c r="Q30" s="9">
        <f t="shared" si="27"/>
        <v>7824</v>
      </c>
      <c r="R30" s="9">
        <f t="shared" si="21"/>
        <v>18256</v>
      </c>
      <c r="S30" s="9">
        <f t="shared" si="25"/>
        <v>26080</v>
      </c>
      <c r="T30" s="9">
        <f t="shared" si="22"/>
        <v>6120</v>
      </c>
      <c r="U30" s="9">
        <f t="shared" si="23"/>
        <v>19960</v>
      </c>
      <c r="V30" s="9">
        <f t="shared" si="24"/>
        <v>1480</v>
      </c>
    </row>
    <row r="31" spans="1:22" x14ac:dyDescent="0.35">
      <c r="A31" s="6">
        <v>45898</v>
      </c>
      <c r="B31" s="7">
        <f>Table234534568791112151416171819202122232425262728345678910113456789101112410121516[[#This Row],[Profit]]-Table234534568791112151416171819202122232425262728345678910113456789101112410121516[[#This Row],[Mulbhag]]</f>
        <v>4760</v>
      </c>
      <c r="C31" s="28">
        <f>Table234534568791112151416171819202122232425262728345678910113456789101112410121516[[#This Row],[Profit]]/3</f>
        <v>2380</v>
      </c>
      <c r="D31" s="7">
        <f t="shared" si="0"/>
        <v>7140</v>
      </c>
      <c r="E31" s="7">
        <f t="shared" si="1"/>
        <v>16660</v>
      </c>
      <c r="F31" s="7">
        <f t="shared" si="2"/>
        <v>23800</v>
      </c>
      <c r="G31" s="7">
        <v>1800</v>
      </c>
      <c r="H31" s="7">
        <v>22000</v>
      </c>
      <c r="I31" s="7">
        <f>IFERROR(VLOOKUP(Table234534568791112151416171819202122232425262728345678910113456789101112410121516[[#This Row],[Date]],'Aug Expense'!H29:K276,3,0),0)</f>
        <v>0</v>
      </c>
      <c r="J31" s="7">
        <f>IFERROR(VLOOKUP(Table234534568791112151416171819202122232425262728345678910113456789101112410121516[[#This Row],[Date]],'Aug Expense'!H29:K276,4,0),0)</f>
        <v>0</v>
      </c>
      <c r="K31" s="7">
        <f>Table234534568791112151416171819202122232425262728345678910113456789101112410121516[[#This Row],[Account Transfer]]-Table234534568791112151416171819202122232425262728345678910113456789101112410121516[[#This Row],[Expense Online]]</f>
        <v>22000</v>
      </c>
      <c r="L31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-5340</v>
      </c>
      <c r="M31" s="7">
        <f>Table234534568791112151416171819202122232425262728345678910113456789101112410121516[[#This Row],[Cash]]-Table234534568791112151416171819202122232425262728345678910113456789101112410121516[[#This Row],[Expense]]</f>
        <v>1800</v>
      </c>
      <c r="N31" s="45"/>
      <c r="O31" s="10">
        <f t="shared" si="20"/>
        <v>45890</v>
      </c>
      <c r="P31" s="11">
        <f t="shared" si="26"/>
        <v>3330</v>
      </c>
      <c r="Q31" s="11">
        <f t="shared" si="27"/>
        <v>9990</v>
      </c>
      <c r="R31" s="11">
        <f t="shared" si="21"/>
        <v>23310</v>
      </c>
      <c r="S31" s="11">
        <f t="shared" si="25"/>
        <v>33300</v>
      </c>
      <c r="T31" s="11">
        <f t="shared" si="22"/>
        <v>2900</v>
      </c>
      <c r="U31" s="11">
        <f t="shared" si="23"/>
        <v>30400</v>
      </c>
      <c r="V31" s="11">
        <f t="shared" si="24"/>
        <v>6150</v>
      </c>
    </row>
    <row r="32" spans="1:22" x14ac:dyDescent="0.35">
      <c r="A32" s="6">
        <v>45899</v>
      </c>
      <c r="B32" s="7">
        <f>Table234534568791112151416171819202122232425262728345678910113456789101112410121516[[#This Row],[Profit]]-Table234534568791112151416171819202122232425262728345678910113456789101112410121516[[#This Row],[Mulbhag]]</f>
        <v>5073.7999999999993</v>
      </c>
      <c r="C32" s="28">
        <f>Table234534568791112151416171819202122232425262728345678910113456789101112410121516[[#This Row],[Profit]]/3</f>
        <v>2536.9</v>
      </c>
      <c r="D32" s="7">
        <f t="shared" si="0"/>
        <v>7610.7</v>
      </c>
      <c r="E32" s="7">
        <f t="shared" si="1"/>
        <v>17758.3</v>
      </c>
      <c r="F32" s="7">
        <f t="shared" si="2"/>
        <v>25369</v>
      </c>
      <c r="G32" s="7">
        <v>250</v>
      </c>
      <c r="H32" s="7">
        <v>25119</v>
      </c>
      <c r="I32" s="7">
        <f>IFERROR(VLOOKUP(Table234534568791112151416171819202122232425262728345678910113456789101112410121516[[#This Row],[Date]],'Aug Expense'!H30:K277,3,0),0)</f>
        <v>0</v>
      </c>
      <c r="J32" s="7">
        <f>IFERROR(VLOOKUP(Table234534568791112151416171819202122232425262728345678910113456789101112410121516[[#This Row],[Date]],'Aug Expense'!H30:K277,4,0),0)</f>
        <v>0</v>
      </c>
      <c r="K32" s="7">
        <f>Table234534568791112151416171819202122232425262728345678910113456789101112410121516[[#This Row],[Account Transfer]]-Table234534568791112151416171819202122232425262728345678910113456789101112410121516[[#This Row],[Expense Online]]</f>
        <v>25119</v>
      </c>
      <c r="L32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-7360.6999999999989</v>
      </c>
      <c r="M32" s="7">
        <f>Table234534568791112151416171819202122232425262728345678910113456789101112410121516[[#This Row],[Cash]]-Table234534568791112151416171819202122232425262728345678910113456789101112410121516[[#This Row],[Expense]]</f>
        <v>250</v>
      </c>
      <c r="N32" s="45"/>
      <c r="O32" s="12" t="s">
        <v>3</v>
      </c>
      <c r="P32" s="12">
        <f>SUM(P25:P31)</f>
        <v>14496.8</v>
      </c>
      <c r="Q32" s="11">
        <f t="shared" ref="Q32:V32" si="28">SUM(Q25:Q31)</f>
        <v>43490.400000000001</v>
      </c>
      <c r="R32" s="11">
        <f t="shared" si="28"/>
        <v>101477.6</v>
      </c>
      <c r="S32" s="11">
        <f t="shared" si="28"/>
        <v>144968</v>
      </c>
      <c r="T32" s="11">
        <f t="shared" si="28"/>
        <v>27648</v>
      </c>
      <c r="U32" s="11">
        <f t="shared" si="28"/>
        <v>117320</v>
      </c>
      <c r="V32" s="11">
        <f t="shared" si="28"/>
        <v>13640</v>
      </c>
    </row>
    <row r="33" spans="1:22" x14ac:dyDescent="0.35">
      <c r="A33" s="6">
        <v>45900</v>
      </c>
      <c r="B33" s="7">
        <f>Table234534568791112151416171819202122232425262728345678910113456789101112410121516[[#This Row],[Profit]]-Table234534568791112151416171819202122232425262728345678910113456789101112410121516[[#This Row],[Mulbhag]]</f>
        <v>3661.8</v>
      </c>
      <c r="C33" s="28">
        <f>Table234534568791112151416171819202122232425262728345678910113456789101112410121516[[#This Row],[Profit]]/3</f>
        <v>1830.8999999999999</v>
      </c>
      <c r="D33" s="7">
        <f t="shared" si="0"/>
        <v>5492.7</v>
      </c>
      <c r="E33" s="7">
        <f t="shared" si="1"/>
        <v>12816.3</v>
      </c>
      <c r="F33" s="7">
        <f t="shared" si="2"/>
        <v>18309</v>
      </c>
      <c r="G33" s="7">
        <v>8705</v>
      </c>
      <c r="H33" s="7">
        <v>9604</v>
      </c>
      <c r="I33" s="7">
        <f>IFERROR(VLOOKUP(Table234534568791112151416171819202122232425262728345678910113456789101112410121516[[#This Row],[Date]],'Aug Expense'!H31:K278,3,0),0)</f>
        <v>0</v>
      </c>
      <c r="J33" s="7">
        <f>IFERROR(VLOOKUP(Table234534568791112151416171819202122232425262728345678910113456789101112410121516[[#This Row],[Date]],'Aug Expense'!H31:K278,4,0),0)</f>
        <v>0</v>
      </c>
      <c r="K33" s="7">
        <f>Table234534568791112151416171819202122232425262728345678910113456789101112410121516[[#This Row],[Account Transfer]]-Table234534568791112151416171819202122232425262728345678910113456789101112410121516[[#This Row],[Expense Online]]</f>
        <v>9604</v>
      </c>
      <c r="L33" s="7">
        <f>Table234534568791112151416171819202122232425262728345678910113456789101112410121516[[#This Row],[Cash]]-Table234534568791112151416171819202122232425262728345678910113456789101112410121516[[#This Row],[Mulbhag]]-Table234534568791112151416171819202122232425262728345678910113456789101112410121516[[#This Row],[Actual Profit]]-Table234534568791112151416171819202122232425262728345678910113456789101112410121516[[#This Row],[Expense]]</f>
        <v>3212.3</v>
      </c>
      <c r="M33" s="7">
        <f>Table234534568791112151416171819202122232425262728345678910113456789101112410121516[[#This Row],[Cash]]-Table234534568791112151416171819202122232425262728345678910113456789101112410121516[[#This Row],[Expense]]</f>
        <v>8705</v>
      </c>
      <c r="N33" s="47"/>
      <c r="O33" s="12" t="s">
        <v>7</v>
      </c>
      <c r="P33" s="9"/>
      <c r="Q33" s="9">
        <f>Q32/3</f>
        <v>14496.800000000001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SUBTOTAL(109,Table234534568791112151416171819202122232425262728345678910113456789101112410121516[Actual Profit])</f>
        <v>122153.40000000001</v>
      </c>
      <c r="C34" s="16">
        <f>SUBTOTAL(109,Table234534568791112151416171819202122232425262728345678910113456789101112410121516[Mulbhag])</f>
        <v>61076.700000000012</v>
      </c>
      <c r="D34" s="16">
        <f>SUBTOTAL(109,Table234534568791112151416171819202122232425262728345678910113456789101112410121516[Profit])</f>
        <v>183230.10000000003</v>
      </c>
      <c r="E34" s="16">
        <f>SUBTOTAL(109,Table234534568791112151416171819202122232425262728345678910113456789101112410121516[Profit])</f>
        <v>183230.10000000003</v>
      </c>
      <c r="F34" s="16">
        <f>SUM(F3:F33)</f>
        <v>610767</v>
      </c>
      <c r="G34" s="16">
        <f>SUBTOTAL(109,Table234534568791112151416171819202122232425262728345678910113456789101112410121516[Profit])</f>
        <v>183230.10000000003</v>
      </c>
      <c r="H34" s="16">
        <f>SUBTOTAL(109,Table234534568791112151416171819202122232425262728345678910113456789101112410121516[Profit])</f>
        <v>183230.10000000003</v>
      </c>
      <c r="I34" s="16">
        <f>SUM(I5:I33)</f>
        <v>219150</v>
      </c>
      <c r="J34" s="16">
        <f>SUBTOTAL(109,Table234534568791112151416171819202122232425262728345678910113456789101112410121516[Expense Online])</f>
        <v>177472</v>
      </c>
      <c r="K34" s="16">
        <f>SUBTOTAL(109,Table234534568791112151416171819202122232425262728345678910113456789101112410121516[x])</f>
        <v>237217</v>
      </c>
      <c r="L34" s="16">
        <f>SUM(L5:L33)</f>
        <v>-202243.30000000002</v>
      </c>
      <c r="M34" s="16">
        <f>SUBTOTAL(109,Table234534568791112151416171819202122232425262728345678910113456789101112410121516[Actual Balance])</f>
        <v>-26142</v>
      </c>
    </row>
    <row r="35" spans="1:22" x14ac:dyDescent="0.35">
      <c r="A35" s="17"/>
      <c r="B35" s="18"/>
      <c r="C35" s="18"/>
      <c r="D35" s="18">
        <f>D34/3</f>
        <v>61076.700000000012</v>
      </c>
      <c r="E35" s="18"/>
      <c r="F35" s="18"/>
      <c r="G35" s="18">
        <f>F34*0.42</f>
        <v>256522.13999999998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10.000000000000002</v>
      </c>
      <c r="E36" s="18"/>
      <c r="F36" s="18"/>
      <c r="G36" s="18">
        <f>G35/3</f>
        <v>85507.37999999999</v>
      </c>
      <c r="H36" s="18"/>
      <c r="I36" s="18"/>
      <c r="J36" s="18"/>
      <c r="K36" s="18"/>
      <c r="L36" s="18"/>
      <c r="M36" s="18"/>
      <c r="O36" s="8">
        <f t="shared" ref="O36:O40" si="29">A24</f>
        <v>45891</v>
      </c>
      <c r="P36" s="11">
        <f>Q36/3</f>
        <v>840</v>
      </c>
      <c r="Q36" s="11">
        <f>S36*0.3</f>
        <v>2520</v>
      </c>
      <c r="R36" s="11">
        <f t="shared" ref="R36:R41" si="30">S36-Q36</f>
        <v>5880</v>
      </c>
      <c r="S36" s="11">
        <f>T36+U36</f>
        <v>8400</v>
      </c>
      <c r="T36" s="11">
        <f t="shared" ref="T36:T41" si="31">VLOOKUP(O36,$A$1:$J$34,7,0)</f>
        <v>4700</v>
      </c>
      <c r="U36" s="11">
        <f t="shared" ref="U36:U41" si="32">VLOOKUP(O36,$A$1:$J$34,8,0)</f>
        <v>3700</v>
      </c>
      <c r="V36" s="11">
        <f t="shared" ref="V36:V41" si="33">VLOOKUP(O36,$A$1:$J$34,9,0)</f>
        <v>1150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45892</v>
      </c>
      <c r="P37" s="9">
        <f>Q37/3</f>
        <v>1284.5</v>
      </c>
      <c r="Q37" s="9">
        <f>S37*0.3</f>
        <v>3853.5</v>
      </c>
      <c r="R37" s="9">
        <f t="shared" si="30"/>
        <v>8991.5</v>
      </c>
      <c r="S37" s="9">
        <f t="shared" ref="S37:S41" si="34">T37+U37</f>
        <v>12845</v>
      </c>
      <c r="T37" s="9">
        <f t="shared" si="31"/>
        <v>3500</v>
      </c>
      <c r="U37" s="9">
        <f t="shared" si="32"/>
        <v>9345</v>
      </c>
      <c r="V37" s="9">
        <f t="shared" si="33"/>
        <v>7650</v>
      </c>
    </row>
    <row r="38" spans="1:22" x14ac:dyDescent="0.35">
      <c r="A38" s="20" t="str">
        <f>CONCATENATE(TEXT(O3,"DD-MMM-YYY")," to ",TEXT(O9,"DD-MMM-YYYY"))</f>
        <v>01-Aug-2025 to 07-Aug-2025</v>
      </c>
      <c r="B38" s="11">
        <f>D38-C38</f>
        <v>26543.200000000004</v>
      </c>
      <c r="C38" s="11">
        <f>D38/3</f>
        <v>13271.6</v>
      </c>
      <c r="D38" s="11">
        <f>Q10</f>
        <v>39814.800000000003</v>
      </c>
      <c r="E38" s="11">
        <f t="shared" ref="E38:I38" si="35">R10</f>
        <v>92901.2</v>
      </c>
      <c r="F38" s="11">
        <f t="shared" si="35"/>
        <v>132716</v>
      </c>
      <c r="G38" s="11">
        <f t="shared" si="35"/>
        <v>43895</v>
      </c>
      <c r="H38" s="11">
        <f t="shared" si="35"/>
        <v>88821</v>
      </c>
      <c r="I38" s="11">
        <f t="shared" si="35"/>
        <v>169260</v>
      </c>
      <c r="J38" s="11"/>
      <c r="K38" s="11"/>
      <c r="L38" s="11"/>
      <c r="M38" s="11"/>
      <c r="O38" s="10">
        <f t="shared" si="29"/>
        <v>45893</v>
      </c>
      <c r="P38" s="11">
        <f t="shared" ref="P38:P41" si="36">Q38/3</f>
        <v>2180</v>
      </c>
      <c r="Q38" s="11">
        <f t="shared" ref="Q38:Q41" si="37">S38*0.3</f>
        <v>6540</v>
      </c>
      <c r="R38" s="11">
        <f t="shared" si="30"/>
        <v>15260</v>
      </c>
      <c r="S38" s="11">
        <f t="shared" si="34"/>
        <v>21800</v>
      </c>
      <c r="T38" s="11">
        <f t="shared" si="31"/>
        <v>8740</v>
      </c>
      <c r="U38" s="11">
        <f t="shared" si="32"/>
        <v>13060</v>
      </c>
      <c r="V38" s="11">
        <f t="shared" si="33"/>
        <v>3350</v>
      </c>
    </row>
    <row r="39" spans="1:22" x14ac:dyDescent="0.35">
      <c r="A39" s="20" t="str">
        <f>CONCATENATE(TEXT(O14,"DD-MMM-YYY")," to ",TEXT(O20,"DD-MMM-YYYY"))</f>
        <v>08-Aug-2025 to 14-Aug-2025</v>
      </c>
      <c r="B39" s="9">
        <f t="shared" ref="B39:B42" si="38">D39-C39</f>
        <v>35781</v>
      </c>
      <c r="C39" s="9">
        <f t="shared" ref="C39:C42" si="39">D39/3</f>
        <v>17890.5</v>
      </c>
      <c r="D39" s="9">
        <f>Q21</f>
        <v>53671.5</v>
      </c>
      <c r="E39" s="9">
        <f t="shared" ref="E39:I39" si="40">R21</f>
        <v>125233.5</v>
      </c>
      <c r="F39" s="9">
        <f t="shared" si="40"/>
        <v>178905</v>
      </c>
      <c r="G39" s="9">
        <f t="shared" si="40"/>
        <v>79870</v>
      </c>
      <c r="H39" s="9">
        <f t="shared" si="40"/>
        <v>99035</v>
      </c>
      <c r="I39" s="9">
        <f t="shared" si="40"/>
        <v>26020</v>
      </c>
      <c r="J39" s="9"/>
      <c r="K39" s="9"/>
      <c r="L39" s="9"/>
      <c r="M39" s="9"/>
      <c r="O39" s="8">
        <f t="shared" si="29"/>
        <v>45894</v>
      </c>
      <c r="P39" s="9">
        <f t="shared" si="36"/>
        <v>1537</v>
      </c>
      <c r="Q39" s="9">
        <f t="shared" si="37"/>
        <v>4611</v>
      </c>
      <c r="R39" s="9">
        <f t="shared" si="30"/>
        <v>10759</v>
      </c>
      <c r="S39" s="9">
        <f t="shared" si="34"/>
        <v>15370</v>
      </c>
      <c r="T39" s="9">
        <f t="shared" si="31"/>
        <v>8020</v>
      </c>
      <c r="U39" s="9">
        <f t="shared" si="32"/>
        <v>7350</v>
      </c>
      <c r="V39" s="9">
        <f t="shared" si="33"/>
        <v>1150</v>
      </c>
    </row>
    <row r="40" spans="1:22" x14ac:dyDescent="0.35">
      <c r="A40" s="20" t="str">
        <f>CONCATENATE(TEXT(O25,"DD-MMM-YYY")," to ",TEXT(O31,"DD-MMM-YYYY"))</f>
        <v>15-Aug-2025 to 21-Aug-2025</v>
      </c>
      <c r="B40" s="11">
        <f t="shared" si="38"/>
        <v>28993.599999999999</v>
      </c>
      <c r="C40" s="11">
        <f t="shared" si="39"/>
        <v>14496.800000000001</v>
      </c>
      <c r="D40" s="11">
        <f>Q32</f>
        <v>43490.400000000001</v>
      </c>
      <c r="E40" s="11">
        <f t="shared" ref="E40:I40" si="41">R32</f>
        <v>101477.6</v>
      </c>
      <c r="F40" s="11">
        <f t="shared" si="41"/>
        <v>144968</v>
      </c>
      <c r="G40" s="11">
        <f t="shared" si="41"/>
        <v>27648</v>
      </c>
      <c r="H40" s="11">
        <f t="shared" si="41"/>
        <v>117320</v>
      </c>
      <c r="I40" s="11">
        <f t="shared" si="41"/>
        <v>13640</v>
      </c>
      <c r="J40" s="11"/>
      <c r="K40" s="11"/>
      <c r="L40" s="11"/>
      <c r="M40" s="11"/>
      <c r="O40" s="10">
        <f t="shared" si="29"/>
        <v>45895</v>
      </c>
      <c r="P40" s="11">
        <f t="shared" si="36"/>
        <v>998</v>
      </c>
      <c r="Q40" s="11">
        <f t="shared" si="37"/>
        <v>2994</v>
      </c>
      <c r="R40" s="11">
        <f t="shared" si="30"/>
        <v>6986</v>
      </c>
      <c r="S40" s="11">
        <f t="shared" si="34"/>
        <v>9980</v>
      </c>
      <c r="T40" s="11">
        <f t="shared" si="31"/>
        <v>680</v>
      </c>
      <c r="U40" s="11">
        <f t="shared" si="32"/>
        <v>9300</v>
      </c>
      <c r="V40" s="11">
        <f t="shared" si="33"/>
        <v>0</v>
      </c>
    </row>
    <row r="41" spans="1:22" x14ac:dyDescent="0.35">
      <c r="A41" s="20" t="str">
        <f>CONCATENATE(TEXT(O36,"DD-MMM-YYY")," to ",TEXT(O41,"DD-MMM-YYYY"))</f>
        <v>22-Aug-2025 to 31-Aug-2025</v>
      </c>
      <c r="B41" s="9">
        <f t="shared" si="38"/>
        <v>17340.800000000003</v>
      </c>
      <c r="C41" s="9">
        <f t="shared" si="39"/>
        <v>8670.4</v>
      </c>
      <c r="D41" s="9">
        <f>Q42</f>
        <v>26011.200000000001</v>
      </c>
      <c r="E41" s="9">
        <f t="shared" ref="E41:I41" si="42">R42</f>
        <v>60692.800000000003</v>
      </c>
      <c r="F41" s="9">
        <f t="shared" si="42"/>
        <v>86704</v>
      </c>
      <c r="G41" s="9">
        <f t="shared" si="42"/>
        <v>34345</v>
      </c>
      <c r="H41" s="9">
        <f t="shared" si="42"/>
        <v>52359</v>
      </c>
      <c r="I41" s="9">
        <f t="shared" si="42"/>
        <v>13300</v>
      </c>
      <c r="J41" s="9"/>
      <c r="K41" s="9"/>
      <c r="L41" s="9"/>
      <c r="M41" s="9"/>
      <c r="O41" s="8">
        <f>A33</f>
        <v>45900</v>
      </c>
      <c r="P41" s="9">
        <f t="shared" si="36"/>
        <v>1830.8999999999999</v>
      </c>
      <c r="Q41" s="9">
        <f t="shared" si="37"/>
        <v>5492.7</v>
      </c>
      <c r="R41" s="9">
        <f t="shared" si="30"/>
        <v>12816.3</v>
      </c>
      <c r="S41" s="9">
        <f t="shared" si="34"/>
        <v>18309</v>
      </c>
      <c r="T41" s="9">
        <f t="shared" si="31"/>
        <v>8705</v>
      </c>
      <c r="U41" s="9">
        <f t="shared" si="32"/>
        <v>9604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01-Aug-2025 to 31-Aug-2025</v>
      </c>
      <c r="B42" s="9">
        <f t="shared" si="38"/>
        <v>108658.6</v>
      </c>
      <c r="C42" s="9">
        <f t="shared" si="39"/>
        <v>54329.30000000001</v>
      </c>
      <c r="D42" s="9">
        <f t="shared" ref="D42:I42" si="43">SUM(D38:D41)</f>
        <v>162987.90000000002</v>
      </c>
      <c r="E42" s="9">
        <f t="shared" si="43"/>
        <v>380305.10000000003</v>
      </c>
      <c r="F42" s="9">
        <f t="shared" si="43"/>
        <v>543293</v>
      </c>
      <c r="G42" s="9">
        <f t="shared" si="43"/>
        <v>185758</v>
      </c>
      <c r="H42" s="9">
        <f t="shared" si="43"/>
        <v>357535</v>
      </c>
      <c r="I42" s="9">
        <f t="shared" si="43"/>
        <v>222220</v>
      </c>
      <c r="J42" s="9"/>
      <c r="K42" s="9"/>
      <c r="L42" s="9"/>
      <c r="M42" s="9"/>
      <c r="O42" s="12" t="s">
        <v>3</v>
      </c>
      <c r="P42" s="12">
        <f t="shared" ref="P42:V42" si="44">SUM(P36:P41)</f>
        <v>8670.4</v>
      </c>
      <c r="Q42" s="11">
        <f t="shared" si="44"/>
        <v>26011.200000000001</v>
      </c>
      <c r="R42" s="9">
        <f t="shared" si="44"/>
        <v>60692.800000000003</v>
      </c>
      <c r="S42" s="9">
        <f t="shared" si="44"/>
        <v>86704</v>
      </c>
      <c r="T42" s="9">
        <f t="shared" si="44"/>
        <v>34345</v>
      </c>
      <c r="U42" s="9">
        <f t="shared" si="44"/>
        <v>52359</v>
      </c>
      <c r="V42" s="9">
        <f t="shared" si="44"/>
        <v>13300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8670.4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45874</v>
      </c>
      <c r="P47" s="9"/>
      <c r="Q47" s="9">
        <f t="shared" ref="Q47:V47" si="45">SUM(D8:D33)</f>
        <v>157597.80000000002</v>
      </c>
      <c r="R47" s="9">
        <f t="shared" si="45"/>
        <v>367728.19999999995</v>
      </c>
      <c r="S47" s="9">
        <f t="shared" si="45"/>
        <v>525326</v>
      </c>
      <c r="T47" s="9">
        <f t="shared" si="45"/>
        <v>165963</v>
      </c>
      <c r="U47" s="9">
        <f t="shared" si="45"/>
        <v>359363</v>
      </c>
      <c r="V47" s="9">
        <f t="shared" si="45"/>
        <v>62070</v>
      </c>
    </row>
    <row r="48" spans="1:22" x14ac:dyDescent="0.35">
      <c r="O48" s="12" t="s">
        <v>7</v>
      </c>
      <c r="P48" s="11"/>
      <c r="Q48" s="11">
        <f>Q47/3</f>
        <v>52532.600000000006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2198-98A1-42E5-8B63-32F1326CFC61}">
  <dimension ref="A1:K228"/>
  <sheetViews>
    <sheetView topLeftCell="A28" zoomScaleNormal="100" workbookViewId="0">
      <selection activeCell="H28" sqref="H28"/>
    </sheetView>
  </sheetViews>
  <sheetFormatPr defaultRowHeight="14.5" x14ac:dyDescent="0.35"/>
  <cols>
    <col min="1" max="1" width="23.72656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4.1796875" style="26" bestFit="1" customWidth="1"/>
    <col min="9" max="9" width="11.08984375" bestFit="1" customWidth="1"/>
    <col min="10" max="10" width="11.26953125" bestFit="1" customWidth="1"/>
    <col min="11" max="11" width="21.3632812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65" t="s">
        <v>193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45870</v>
      </c>
      <c r="B2" s="23">
        <v>30</v>
      </c>
      <c r="C2" s="23"/>
      <c r="D2" s="23">
        <f>Table2345345687911121514161718192021222324252627283456789101134567891011123511131417[[#This Row],[Cash]]+Table2345345687911121514161718192021222324252627283456789101134567891011123511131417[[#This Row],[Account Transfer]]</f>
        <v>30</v>
      </c>
      <c r="E2" s="7" t="s">
        <v>345</v>
      </c>
      <c r="F2" s="36" t="s">
        <v>42</v>
      </c>
      <c r="H2" s="26" t="s">
        <v>72</v>
      </c>
      <c r="I2">
        <v>0</v>
      </c>
    </row>
    <row r="3" spans="1:11" x14ac:dyDescent="0.35">
      <c r="A3" s="35">
        <v>45870</v>
      </c>
      <c r="B3" s="23">
        <v>1000</v>
      </c>
      <c r="C3" s="23"/>
      <c r="D3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3" s="22" t="s">
        <v>69</v>
      </c>
      <c r="F3" s="36" t="s">
        <v>69</v>
      </c>
      <c r="H3" s="26">
        <v>45870</v>
      </c>
      <c r="I3">
        <v>1930</v>
      </c>
      <c r="J3">
        <v>1930</v>
      </c>
    </row>
    <row r="4" spans="1:11" x14ac:dyDescent="0.35">
      <c r="A4" s="35">
        <v>45870</v>
      </c>
      <c r="B4" s="23">
        <v>90</v>
      </c>
      <c r="C4" s="23"/>
      <c r="D4" s="23">
        <f>Table2345345687911121514161718192021222324252627283456789101134567891011123511131417[[#This Row],[Cash]]+Table2345345687911121514161718192021222324252627283456789101134567891011123511131417[[#This Row],[Account Transfer]]</f>
        <v>90</v>
      </c>
      <c r="E4" s="22" t="s">
        <v>26</v>
      </c>
      <c r="F4" s="36" t="s">
        <v>26</v>
      </c>
      <c r="H4" s="26">
        <v>45871</v>
      </c>
      <c r="I4">
        <v>1140</v>
      </c>
      <c r="J4">
        <v>1140</v>
      </c>
    </row>
    <row r="5" spans="1:11" x14ac:dyDescent="0.35">
      <c r="A5" s="35">
        <v>45870</v>
      </c>
      <c r="B5" s="23">
        <v>810</v>
      </c>
      <c r="C5" s="23"/>
      <c r="D5" s="23">
        <f>Table2345345687911121514161718192021222324252627283456789101134567891011123511131417[[#This Row],[Cash]]+Table2345345687911121514161718192021222324252627283456789101134567891011123511131417[[#This Row],[Account Transfer]]</f>
        <v>810</v>
      </c>
      <c r="E5" s="22" t="s">
        <v>20</v>
      </c>
      <c r="F5" s="36" t="s">
        <v>42</v>
      </c>
      <c r="H5" s="26">
        <v>45872</v>
      </c>
      <c r="I5">
        <v>1140</v>
      </c>
      <c r="J5">
        <v>1140</v>
      </c>
    </row>
    <row r="6" spans="1:11" x14ac:dyDescent="0.35">
      <c r="A6" s="35">
        <v>45871</v>
      </c>
      <c r="B6" s="23">
        <v>140</v>
      </c>
      <c r="C6" s="23"/>
      <c r="D6" s="23">
        <f>Table2345345687911121514161718192021222324252627283456789101134567891011123511131417[[#This Row],[Cash]]+Table2345345687911121514161718192021222324252627283456789101134567891011123511131417[[#This Row],[Account Transfer]]</f>
        <v>140</v>
      </c>
      <c r="E6" s="22" t="s">
        <v>346</v>
      </c>
      <c r="F6" s="36" t="s">
        <v>48</v>
      </c>
      <c r="H6" s="26">
        <v>45873</v>
      </c>
      <c r="I6">
        <v>151320</v>
      </c>
      <c r="J6">
        <v>151320</v>
      </c>
    </row>
    <row r="7" spans="1:11" x14ac:dyDescent="0.35">
      <c r="A7" s="35">
        <v>45871</v>
      </c>
      <c r="B7" s="23">
        <v>1000</v>
      </c>
      <c r="C7" s="23"/>
      <c r="D7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7" s="22" t="s">
        <v>69</v>
      </c>
      <c r="F7" s="36" t="s">
        <v>69</v>
      </c>
      <c r="H7" s="26">
        <v>45874</v>
      </c>
      <c r="I7">
        <v>7990</v>
      </c>
      <c r="J7">
        <v>4620</v>
      </c>
      <c r="K7">
        <v>3370</v>
      </c>
    </row>
    <row r="8" spans="1:11" x14ac:dyDescent="0.35">
      <c r="A8" s="35">
        <v>45872</v>
      </c>
      <c r="B8" s="23">
        <v>140</v>
      </c>
      <c r="C8" s="23"/>
      <c r="D8" s="23">
        <f>Table2345345687911121514161718192021222324252627283456789101134567891011123511131417[[#This Row],[Cash]]+Table2345345687911121514161718192021222324252627283456789101134567891011123511131417[[#This Row],[Account Transfer]]</f>
        <v>140</v>
      </c>
      <c r="E8" s="22" t="s">
        <v>346</v>
      </c>
      <c r="F8" s="36" t="s">
        <v>48</v>
      </c>
      <c r="H8" s="26">
        <v>45875</v>
      </c>
      <c r="I8">
        <v>5610</v>
      </c>
      <c r="J8">
        <v>5610</v>
      </c>
    </row>
    <row r="9" spans="1:11" x14ac:dyDescent="0.35">
      <c r="A9" s="35">
        <v>45872</v>
      </c>
      <c r="B9" s="23">
        <v>1000</v>
      </c>
      <c r="C9" s="23"/>
      <c r="D9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9" s="22" t="s">
        <v>69</v>
      </c>
      <c r="F9" s="36" t="s">
        <v>69</v>
      </c>
      <c r="H9" s="26">
        <v>45876</v>
      </c>
      <c r="I9">
        <v>32647</v>
      </c>
      <c r="J9">
        <v>3500</v>
      </c>
      <c r="K9">
        <v>29147</v>
      </c>
    </row>
    <row r="10" spans="1:11" x14ac:dyDescent="0.35">
      <c r="A10" s="35">
        <v>45873</v>
      </c>
      <c r="B10" s="23">
        <v>54540</v>
      </c>
      <c r="C10" s="23"/>
      <c r="D10" s="23">
        <f>Table2345345687911121514161718192021222324252627283456789101134567891011123511131417[[#This Row],[Cash]]+Table2345345687911121514161718192021222324252627283456789101134567891011123511131417[[#This Row],[Account Transfer]]</f>
        <v>54540</v>
      </c>
      <c r="E10" s="22" t="s">
        <v>352</v>
      </c>
      <c r="F10" s="36" t="s">
        <v>45</v>
      </c>
      <c r="H10" s="26">
        <v>45877</v>
      </c>
      <c r="I10">
        <v>2820</v>
      </c>
      <c r="J10">
        <v>2120</v>
      </c>
      <c r="K10">
        <v>700</v>
      </c>
    </row>
    <row r="11" spans="1:11" x14ac:dyDescent="0.35">
      <c r="A11" s="35">
        <v>45873</v>
      </c>
      <c r="B11" s="23">
        <v>72610</v>
      </c>
      <c r="C11" s="23"/>
      <c r="D11" s="23">
        <f>Table2345345687911121514161718192021222324252627283456789101134567891011123511131417[[#This Row],[Cash]]+Table2345345687911121514161718192021222324252627283456789101134567891011123511131417[[#This Row],[Account Transfer]]</f>
        <v>72610</v>
      </c>
      <c r="E11" s="22" t="s">
        <v>353</v>
      </c>
      <c r="F11" s="36" t="s">
        <v>45</v>
      </c>
      <c r="H11" s="26">
        <v>45878</v>
      </c>
      <c r="I11">
        <v>1120</v>
      </c>
      <c r="J11">
        <v>1120</v>
      </c>
    </row>
    <row r="12" spans="1:11" x14ac:dyDescent="0.35">
      <c r="A12" s="35">
        <v>45873</v>
      </c>
      <c r="B12" s="23">
        <v>22730</v>
      </c>
      <c r="C12" s="23"/>
      <c r="D12" s="23">
        <f>Table2345345687911121514161718192021222324252627283456789101134567891011123511131417[[#This Row],[Cash]]+Table2345345687911121514161718192021222324252627283456789101134567891011123511131417[[#This Row],[Account Transfer]]</f>
        <v>22730</v>
      </c>
      <c r="E12" s="22" t="s">
        <v>354</v>
      </c>
      <c r="F12" s="36" t="s">
        <v>45</v>
      </c>
      <c r="H12" s="26">
        <v>45879</v>
      </c>
      <c r="I12">
        <v>3920</v>
      </c>
      <c r="J12">
        <v>3920</v>
      </c>
    </row>
    <row r="13" spans="1:11" x14ac:dyDescent="0.35">
      <c r="A13" s="35">
        <v>45873</v>
      </c>
      <c r="B13" s="23">
        <v>140</v>
      </c>
      <c r="C13" s="23"/>
      <c r="D13" s="23">
        <f>Table2345345687911121514161718192021222324252627283456789101134567891011123511131417[[#This Row],[Cash]]+Table2345345687911121514161718192021222324252627283456789101134567891011123511131417[[#This Row],[Account Transfer]]</f>
        <v>140</v>
      </c>
      <c r="E13" s="22" t="s">
        <v>346</v>
      </c>
      <c r="F13" s="36" t="s">
        <v>48</v>
      </c>
      <c r="H13" s="26">
        <v>45880</v>
      </c>
      <c r="I13">
        <v>7995</v>
      </c>
      <c r="J13">
        <v>4120</v>
      </c>
      <c r="K13">
        <v>3875</v>
      </c>
    </row>
    <row r="14" spans="1:11" x14ac:dyDescent="0.35">
      <c r="A14" s="35">
        <v>45873</v>
      </c>
      <c r="B14" s="23">
        <v>1000</v>
      </c>
      <c r="C14" s="23"/>
      <c r="D14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14" s="22" t="s">
        <v>69</v>
      </c>
      <c r="F14" s="36" t="s">
        <v>69</v>
      </c>
      <c r="H14" s="26">
        <v>45881</v>
      </c>
      <c r="I14">
        <v>2320</v>
      </c>
      <c r="J14">
        <v>1120</v>
      </c>
      <c r="K14">
        <v>1200</v>
      </c>
    </row>
    <row r="15" spans="1:11" x14ac:dyDescent="0.35">
      <c r="A15" s="35">
        <v>45873</v>
      </c>
      <c r="B15" s="23">
        <v>300</v>
      </c>
      <c r="C15" s="23"/>
      <c r="D15" s="23">
        <f>Table2345345687911121514161718192021222324252627283456789101134567891011123511131417[[#This Row],[Cash]]+Table2345345687911121514161718192021222324252627283456789101134567891011123511131417[[#This Row],[Account Transfer]]</f>
        <v>300</v>
      </c>
      <c r="E15" s="22" t="s">
        <v>347</v>
      </c>
      <c r="F15" s="36" t="s">
        <v>42</v>
      </c>
      <c r="H15" s="26">
        <v>45882</v>
      </c>
      <c r="I15">
        <v>7480</v>
      </c>
      <c r="J15">
        <v>7480</v>
      </c>
    </row>
    <row r="16" spans="1:11" x14ac:dyDescent="0.35">
      <c r="A16" s="35">
        <v>45874</v>
      </c>
      <c r="B16" s="23">
        <v>500</v>
      </c>
      <c r="C16" s="23"/>
      <c r="D16" s="23">
        <f>Table2345345687911121514161718192021222324252627283456789101134567891011123511131417[[#This Row],[Cash]]+Table2345345687911121514161718192021222324252627283456789101134567891011123511131417[[#This Row],[Account Transfer]]</f>
        <v>500</v>
      </c>
      <c r="E16" s="22" t="s">
        <v>115</v>
      </c>
      <c r="F16" s="36" t="s">
        <v>42</v>
      </c>
      <c r="H16" s="26">
        <v>45883</v>
      </c>
      <c r="I16">
        <v>6140</v>
      </c>
      <c r="J16">
        <v>6140</v>
      </c>
    </row>
    <row r="17" spans="1:11" x14ac:dyDescent="0.35">
      <c r="A17" s="35">
        <v>45874</v>
      </c>
      <c r="B17" s="23">
        <v>1000</v>
      </c>
      <c r="C17" s="23"/>
      <c r="D17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17" s="22" t="s">
        <v>69</v>
      </c>
      <c r="F17" s="36" t="s">
        <v>69</v>
      </c>
      <c r="H17" s="26">
        <v>45884</v>
      </c>
      <c r="I17">
        <v>1550</v>
      </c>
      <c r="J17">
        <v>1190</v>
      </c>
      <c r="K17">
        <v>360</v>
      </c>
    </row>
    <row r="18" spans="1:11" x14ac:dyDescent="0.35">
      <c r="A18" s="35">
        <v>45874</v>
      </c>
      <c r="B18" s="23">
        <v>3000</v>
      </c>
      <c r="C18" s="23"/>
      <c r="D18" s="23">
        <f>Table2345345687911121514161718192021222324252627283456789101134567891011123511131417[[#This Row],[Cash]]+Table2345345687911121514161718192021222324252627283456789101134567891011123511131417[[#This Row],[Account Transfer]]</f>
        <v>3000</v>
      </c>
      <c r="E18" s="22" t="s">
        <v>326</v>
      </c>
      <c r="F18" s="36" t="s">
        <v>103</v>
      </c>
      <c r="H18" s="26">
        <v>45885</v>
      </c>
      <c r="I18">
        <v>1680</v>
      </c>
      <c r="J18">
        <v>1680</v>
      </c>
    </row>
    <row r="19" spans="1:11" x14ac:dyDescent="0.35">
      <c r="A19" s="35">
        <v>45874</v>
      </c>
      <c r="B19" s="23"/>
      <c r="C19" s="23">
        <v>3370</v>
      </c>
      <c r="D19" s="23">
        <f>Table2345345687911121514161718192021222324252627283456789101134567891011123511131417[[#This Row],[Cash]]+Table2345345687911121514161718192021222324252627283456789101134567891011123511131417[[#This Row],[Account Transfer]]</f>
        <v>3370</v>
      </c>
      <c r="E19" s="22" t="s">
        <v>348</v>
      </c>
      <c r="F19" s="36" t="s">
        <v>103</v>
      </c>
      <c r="H19" s="26">
        <v>45886</v>
      </c>
      <c r="I19">
        <v>150</v>
      </c>
      <c r="J19">
        <v>150</v>
      </c>
    </row>
    <row r="20" spans="1:11" x14ac:dyDescent="0.35">
      <c r="A20" s="35">
        <v>45874</v>
      </c>
      <c r="B20" s="23">
        <v>120</v>
      </c>
      <c r="C20" s="23"/>
      <c r="D20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20" s="22" t="s">
        <v>26</v>
      </c>
      <c r="F20" s="36" t="s">
        <v>48</v>
      </c>
      <c r="H20" s="26">
        <v>45887</v>
      </c>
      <c r="I20">
        <v>2820</v>
      </c>
      <c r="J20">
        <v>2820</v>
      </c>
    </row>
    <row r="21" spans="1:11" x14ac:dyDescent="0.35">
      <c r="A21" s="35">
        <v>45875</v>
      </c>
      <c r="B21" s="23">
        <v>170</v>
      </c>
      <c r="C21" s="23"/>
      <c r="D21" s="23">
        <f>Table2345345687911121514161718192021222324252627283456789101134567891011123511131417[[#This Row],[Cash]]+Table2345345687911121514161718192021222324252627283456789101134567891011123511131417[[#This Row],[Account Transfer]]</f>
        <v>170</v>
      </c>
      <c r="E21" s="22" t="s">
        <v>346</v>
      </c>
      <c r="F21" s="36" t="s">
        <v>48</v>
      </c>
      <c r="H21" s="26">
        <v>45888</v>
      </c>
      <c r="I21">
        <v>170</v>
      </c>
      <c r="J21">
        <v>170</v>
      </c>
    </row>
    <row r="22" spans="1:11" x14ac:dyDescent="0.35">
      <c r="A22" s="35">
        <v>45875</v>
      </c>
      <c r="B22" s="23">
        <v>440</v>
      </c>
      <c r="C22" s="23"/>
      <c r="D22" s="23">
        <f>Table2345345687911121514161718192021222324252627283456789101134567891011123511131417[[#This Row],[Cash]]+Table2345345687911121514161718192021222324252627283456789101134567891011123511131417[[#This Row],[Account Transfer]]</f>
        <v>440</v>
      </c>
      <c r="E22" s="22" t="s">
        <v>349</v>
      </c>
      <c r="F22" s="36" t="s">
        <v>74</v>
      </c>
      <c r="H22" s="26">
        <v>45889</v>
      </c>
      <c r="I22">
        <v>61480</v>
      </c>
      <c r="J22">
        <v>1480</v>
      </c>
      <c r="K22">
        <v>60000</v>
      </c>
    </row>
    <row r="23" spans="1:11" x14ac:dyDescent="0.35">
      <c r="A23" s="35">
        <v>45875</v>
      </c>
      <c r="B23" s="23">
        <v>4000</v>
      </c>
      <c r="C23" s="23"/>
      <c r="D23" s="23">
        <f>Table2345345687911121514161718192021222324252627283456789101134567891011123511131417[[#This Row],[Cash]]+Table2345345687911121514161718192021222324252627283456789101134567891011123511131417[[#This Row],[Account Transfer]]</f>
        <v>4000</v>
      </c>
      <c r="E23" s="22" t="s">
        <v>350</v>
      </c>
      <c r="F23" s="36" t="s">
        <v>45</v>
      </c>
      <c r="H23" s="26">
        <v>45890</v>
      </c>
      <c r="I23">
        <v>9970</v>
      </c>
      <c r="J23">
        <v>6150</v>
      </c>
      <c r="K23">
        <v>3820</v>
      </c>
    </row>
    <row r="24" spans="1:11" x14ac:dyDescent="0.35">
      <c r="A24" s="35">
        <v>45875</v>
      </c>
      <c r="B24" s="23">
        <v>1000</v>
      </c>
      <c r="C24" s="23"/>
      <c r="D24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24" s="22" t="s">
        <v>69</v>
      </c>
      <c r="F24" s="36" t="s">
        <v>69</v>
      </c>
      <c r="H24" s="26">
        <v>45891</v>
      </c>
      <c r="I24">
        <v>76150</v>
      </c>
      <c r="J24">
        <v>1150</v>
      </c>
      <c r="K24">
        <v>75000</v>
      </c>
    </row>
    <row r="25" spans="1:11" x14ac:dyDescent="0.35">
      <c r="A25" s="35">
        <v>45876</v>
      </c>
      <c r="B25" s="23">
        <v>2500</v>
      </c>
      <c r="C25" s="23"/>
      <c r="D25" s="23">
        <f>Table2345345687911121514161718192021222324252627283456789101134567891011123511131417[[#This Row],[Cash]]+Table2345345687911121514161718192021222324252627283456789101134567891011123511131417[[#This Row],[Account Transfer]]</f>
        <v>2500</v>
      </c>
      <c r="E25" s="22" t="s">
        <v>350</v>
      </c>
      <c r="F25" s="36" t="s">
        <v>45</v>
      </c>
      <c r="H25" s="26">
        <v>45892</v>
      </c>
      <c r="I25">
        <v>7650</v>
      </c>
      <c r="J25">
        <v>7650</v>
      </c>
    </row>
    <row r="26" spans="1:11" x14ac:dyDescent="0.35">
      <c r="A26" s="35">
        <v>45876</v>
      </c>
      <c r="B26" s="23">
        <v>1000</v>
      </c>
      <c r="C26" s="23"/>
      <c r="D26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26" s="22" t="s">
        <v>69</v>
      </c>
      <c r="F26" s="36" t="s">
        <v>69</v>
      </c>
      <c r="H26" s="26">
        <v>45893</v>
      </c>
      <c r="I26">
        <v>3350</v>
      </c>
      <c r="J26">
        <v>3350</v>
      </c>
    </row>
    <row r="27" spans="1:11" x14ac:dyDescent="0.35">
      <c r="A27" s="35">
        <v>45876</v>
      </c>
      <c r="B27" s="23"/>
      <c r="C27" s="23">
        <v>5707</v>
      </c>
      <c r="D27" s="23">
        <f>Table2345345687911121514161718192021222324252627283456789101134567891011123511131417[[#This Row],[Cash]]+Table2345345687911121514161718192021222324252627283456789101134567891011123511131417[[#This Row],[Account Transfer]]</f>
        <v>5707</v>
      </c>
      <c r="E27" s="23" t="s">
        <v>81</v>
      </c>
      <c r="F27" s="36" t="s">
        <v>103</v>
      </c>
      <c r="H27" s="26">
        <v>45894</v>
      </c>
      <c r="I27">
        <v>1150</v>
      </c>
      <c r="J27">
        <v>1150</v>
      </c>
    </row>
    <row r="28" spans="1:11" x14ac:dyDescent="0.35">
      <c r="A28" s="35">
        <v>45876</v>
      </c>
      <c r="B28" s="23"/>
      <c r="C28" s="23">
        <v>6237</v>
      </c>
      <c r="D28" s="23">
        <f>Table2345345687911121514161718192021222324252627283456789101134567891011123511131417[[#This Row],[Cash]]+Table2345345687911121514161718192021222324252627283456789101134567891011123511131417[[#This Row],[Account Transfer]]</f>
        <v>6237</v>
      </c>
      <c r="E28" s="22" t="s">
        <v>348</v>
      </c>
      <c r="F28" s="36" t="s">
        <v>103</v>
      </c>
      <c r="H28" s="26" t="s">
        <v>35</v>
      </c>
      <c r="I28">
        <v>399692</v>
      </c>
      <c r="J28">
        <v>222220</v>
      </c>
      <c r="K28">
        <v>177472</v>
      </c>
    </row>
    <row r="29" spans="1:11" x14ac:dyDescent="0.35">
      <c r="A29" s="35">
        <v>45876</v>
      </c>
      <c r="B29" s="23"/>
      <c r="C29" s="23">
        <v>10053</v>
      </c>
      <c r="D29" s="23">
        <f>Table2345345687911121514161718192021222324252627283456789101134567891011123511131417[[#This Row],[Cash]]+Table2345345687911121514161718192021222324252627283456789101134567891011123511131417[[#This Row],[Account Transfer]]</f>
        <v>10053</v>
      </c>
      <c r="E29" s="22" t="s">
        <v>28</v>
      </c>
      <c r="F29" s="36" t="s">
        <v>103</v>
      </c>
      <c r="H29"/>
    </row>
    <row r="30" spans="1:11" x14ac:dyDescent="0.35">
      <c r="A30" s="35">
        <v>45876</v>
      </c>
      <c r="B30" s="23"/>
      <c r="C30" s="23">
        <v>7150</v>
      </c>
      <c r="D30" s="23">
        <f>Table2345345687911121514161718192021222324252627283456789101134567891011123511131417[[#This Row],[Cash]]+Table2345345687911121514161718192021222324252627283456789101134567891011123511131417[[#This Row],[Account Transfer]]</f>
        <v>7150</v>
      </c>
      <c r="E30" s="22" t="s">
        <v>326</v>
      </c>
      <c r="F30" s="36" t="s">
        <v>103</v>
      </c>
      <c r="H30"/>
    </row>
    <row r="31" spans="1:11" x14ac:dyDescent="0.35">
      <c r="A31" s="35">
        <v>45877</v>
      </c>
      <c r="B31" s="23">
        <v>1000</v>
      </c>
      <c r="C31" s="23"/>
      <c r="D31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31" s="22" t="s">
        <v>219</v>
      </c>
      <c r="F31" s="36" t="s">
        <v>46</v>
      </c>
      <c r="H31"/>
    </row>
    <row r="32" spans="1:11" x14ac:dyDescent="0.35">
      <c r="A32" s="35">
        <v>45877</v>
      </c>
      <c r="B32" s="23">
        <v>1000</v>
      </c>
      <c r="C32" s="23"/>
      <c r="D32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32" s="22" t="s">
        <v>69</v>
      </c>
      <c r="F32" s="36" t="s">
        <v>297</v>
      </c>
      <c r="H32"/>
    </row>
    <row r="33" spans="1:8" x14ac:dyDescent="0.35">
      <c r="A33" s="35">
        <v>45877</v>
      </c>
      <c r="B33" s="23">
        <v>120</v>
      </c>
      <c r="C33" s="23"/>
      <c r="D33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33" s="22" t="s">
        <v>41</v>
      </c>
      <c r="F33" s="36" t="s">
        <v>74</v>
      </c>
      <c r="H33"/>
    </row>
    <row r="34" spans="1:8" x14ac:dyDescent="0.35">
      <c r="A34" s="35">
        <v>45877</v>
      </c>
      <c r="B34" s="23"/>
      <c r="C34" s="23">
        <v>700</v>
      </c>
      <c r="D34" s="23">
        <f>Table2345345687911121514161718192021222324252627283456789101134567891011123511131417[[#This Row],[Cash]]+Table2345345687911121514161718192021222324252627283456789101134567891011123511131417[[#This Row],[Account Transfer]]</f>
        <v>700</v>
      </c>
      <c r="E34" s="22" t="s">
        <v>73</v>
      </c>
      <c r="F34" s="36" t="s">
        <v>48</v>
      </c>
      <c r="H34"/>
    </row>
    <row r="35" spans="1:8" x14ac:dyDescent="0.35">
      <c r="A35" s="35">
        <v>45878</v>
      </c>
      <c r="B35" s="23">
        <v>1000</v>
      </c>
      <c r="C35" s="23"/>
      <c r="D35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35" s="22" t="s">
        <v>69</v>
      </c>
      <c r="F35" s="36" t="s">
        <v>297</v>
      </c>
    </row>
    <row r="36" spans="1:8" x14ac:dyDescent="0.35">
      <c r="A36" s="35">
        <v>45878</v>
      </c>
      <c r="B36" s="23">
        <v>120</v>
      </c>
      <c r="C36" s="23"/>
      <c r="D36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36" s="22" t="s">
        <v>41</v>
      </c>
      <c r="F36" s="36" t="s">
        <v>74</v>
      </c>
    </row>
    <row r="37" spans="1:8" x14ac:dyDescent="0.35">
      <c r="A37" s="35">
        <v>45879</v>
      </c>
      <c r="B37" s="23">
        <v>1000</v>
      </c>
      <c r="C37" s="23"/>
      <c r="D37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37" s="22" t="s">
        <v>69</v>
      </c>
      <c r="F37" s="36" t="s">
        <v>297</v>
      </c>
    </row>
    <row r="38" spans="1:8" x14ac:dyDescent="0.35">
      <c r="A38" s="35">
        <v>45879</v>
      </c>
      <c r="B38" s="23">
        <v>120</v>
      </c>
      <c r="C38" s="23"/>
      <c r="D38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38" s="22" t="s">
        <v>41</v>
      </c>
      <c r="F38" s="36" t="s">
        <v>74</v>
      </c>
    </row>
    <row r="39" spans="1:8" x14ac:dyDescent="0.35">
      <c r="A39" s="35">
        <v>45879</v>
      </c>
      <c r="B39" s="23">
        <v>2800</v>
      </c>
      <c r="C39" s="23"/>
      <c r="D39" s="23">
        <f>Table2345345687911121514161718192021222324252627283456789101134567891011123511131417[[#This Row],[Cash]]+Table2345345687911121514161718192021222324252627283456789101134567891011123511131417[[#This Row],[Account Transfer]]</f>
        <v>2800</v>
      </c>
      <c r="E39" s="22" t="s">
        <v>130</v>
      </c>
      <c r="F39" s="36" t="s">
        <v>78</v>
      </c>
    </row>
    <row r="40" spans="1:8" x14ac:dyDescent="0.35">
      <c r="A40" s="35">
        <v>45880</v>
      </c>
      <c r="B40" s="23">
        <v>3000</v>
      </c>
      <c r="C40" s="23"/>
      <c r="D40" s="23">
        <f>Table2345345687911121514161718192021222324252627283456789101134567891011123511131417[[#This Row],[Cash]]+Table2345345687911121514161718192021222324252627283456789101134567891011123511131417[[#This Row],[Account Transfer]]</f>
        <v>3000</v>
      </c>
      <c r="E40" s="22" t="s">
        <v>351</v>
      </c>
      <c r="F40" s="36" t="s">
        <v>45</v>
      </c>
    </row>
    <row r="41" spans="1:8" x14ac:dyDescent="0.35">
      <c r="A41" s="35">
        <v>45880</v>
      </c>
      <c r="B41" s="23"/>
      <c r="C41" s="23">
        <v>3875</v>
      </c>
      <c r="D41" s="23">
        <f>Table2345345687911121514161718192021222324252627283456789101134567891011123511131417[[#This Row],[Cash]]+Table2345345687911121514161718192021222324252627283456789101134567891011123511131417[[#This Row],[Account Transfer]]</f>
        <v>3875</v>
      </c>
      <c r="E41" s="22" t="s">
        <v>351</v>
      </c>
      <c r="F41" s="36" t="s">
        <v>45</v>
      </c>
    </row>
    <row r="42" spans="1:8" x14ac:dyDescent="0.35">
      <c r="A42" s="35">
        <v>45880</v>
      </c>
      <c r="B42" s="23">
        <v>1000</v>
      </c>
      <c r="C42" s="23"/>
      <c r="D42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42" s="22" t="s">
        <v>69</v>
      </c>
      <c r="F42" s="36" t="s">
        <v>297</v>
      </c>
    </row>
    <row r="43" spans="1:8" x14ac:dyDescent="0.35">
      <c r="A43" s="35">
        <v>45880</v>
      </c>
      <c r="B43" s="23">
        <v>120</v>
      </c>
      <c r="C43" s="23"/>
      <c r="D43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43" s="22" t="s">
        <v>41</v>
      </c>
      <c r="F43" s="36" t="s">
        <v>74</v>
      </c>
    </row>
    <row r="44" spans="1:8" x14ac:dyDescent="0.35">
      <c r="A44" s="35">
        <v>45881</v>
      </c>
      <c r="B44" s="23"/>
      <c r="C44" s="23">
        <v>1200</v>
      </c>
      <c r="D44" s="23">
        <f>Table2345345687911121514161718192021222324252627283456789101134567891011123511131417[[#This Row],[Cash]]+Table2345345687911121514161718192021222324252627283456789101134567891011123511131417[[#This Row],[Account Transfer]]</f>
        <v>1200</v>
      </c>
      <c r="E44" s="22" t="s">
        <v>355</v>
      </c>
      <c r="F44" s="36" t="s">
        <v>45</v>
      </c>
    </row>
    <row r="45" spans="1:8" x14ac:dyDescent="0.35">
      <c r="A45" s="35">
        <v>45881</v>
      </c>
      <c r="B45" s="23">
        <v>1000</v>
      </c>
      <c r="C45" s="23"/>
      <c r="D45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45" s="22" t="s">
        <v>69</v>
      </c>
      <c r="F45" s="36" t="s">
        <v>297</v>
      </c>
    </row>
    <row r="46" spans="1:8" x14ac:dyDescent="0.35">
      <c r="A46" s="35">
        <v>45881</v>
      </c>
      <c r="B46" s="23">
        <v>120</v>
      </c>
      <c r="C46" s="23"/>
      <c r="D46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46" s="22" t="s">
        <v>41</v>
      </c>
      <c r="F46" s="36" t="s">
        <v>74</v>
      </c>
    </row>
    <row r="47" spans="1:8" x14ac:dyDescent="0.35">
      <c r="A47" s="35">
        <v>45882</v>
      </c>
      <c r="B47" s="23">
        <v>80</v>
      </c>
      <c r="C47" s="23"/>
      <c r="D47" s="23">
        <f>Table2345345687911121514161718192021222324252627283456789101134567891011123511131417[[#This Row],[Cash]]+Table2345345687911121514161718192021222324252627283456789101134567891011123511131417[[#This Row],[Account Transfer]]</f>
        <v>80</v>
      </c>
      <c r="E47" s="22" t="s">
        <v>356</v>
      </c>
      <c r="F47" s="36" t="s">
        <v>357</v>
      </c>
    </row>
    <row r="48" spans="1:8" x14ac:dyDescent="0.35">
      <c r="A48" s="35">
        <v>45882</v>
      </c>
      <c r="B48" s="23">
        <v>300</v>
      </c>
      <c r="C48" s="23"/>
      <c r="D48" s="23">
        <f>Table2345345687911121514161718192021222324252627283456789101134567891011123511131417[[#This Row],[Cash]]+Table2345345687911121514161718192021222324252627283456789101134567891011123511131417[[#This Row],[Account Transfer]]</f>
        <v>300</v>
      </c>
      <c r="E48" s="22" t="s">
        <v>234</v>
      </c>
      <c r="F48" s="36" t="s">
        <v>357</v>
      </c>
    </row>
    <row r="49" spans="1:6" x14ac:dyDescent="0.35">
      <c r="A49" s="35">
        <v>45882</v>
      </c>
      <c r="B49" s="23">
        <v>1500</v>
      </c>
      <c r="C49" s="23"/>
      <c r="D49" s="23">
        <f>Table2345345687911121514161718192021222324252627283456789101134567891011123511131417[[#This Row],[Cash]]+Table2345345687911121514161718192021222324252627283456789101134567891011123511131417[[#This Row],[Account Transfer]]</f>
        <v>1500</v>
      </c>
      <c r="E49" s="22" t="s">
        <v>358</v>
      </c>
      <c r="F49" s="36" t="s">
        <v>357</v>
      </c>
    </row>
    <row r="50" spans="1:6" x14ac:dyDescent="0.35">
      <c r="A50" s="35">
        <v>45882</v>
      </c>
      <c r="B50" s="23">
        <v>1500</v>
      </c>
      <c r="C50" s="23"/>
      <c r="D50" s="23">
        <f>Table2345345687911121514161718192021222324252627283456789101134567891011123511131417[[#This Row],[Cash]]+Table2345345687911121514161718192021222324252627283456789101134567891011123511131417[[#This Row],[Account Transfer]]</f>
        <v>1500</v>
      </c>
      <c r="E50" s="22" t="s">
        <v>359</v>
      </c>
      <c r="F50" s="36" t="s">
        <v>357</v>
      </c>
    </row>
    <row r="51" spans="1:6" x14ac:dyDescent="0.35">
      <c r="A51" s="35">
        <v>45882</v>
      </c>
      <c r="B51" s="23">
        <v>250</v>
      </c>
      <c r="C51" s="23"/>
      <c r="D51" s="23">
        <f>Table2345345687911121514161718192021222324252627283456789101134567891011123511131417[[#This Row],[Cash]]+Table2345345687911121514161718192021222324252627283456789101134567891011123511131417[[#This Row],[Account Transfer]]</f>
        <v>250</v>
      </c>
      <c r="E51" s="22" t="s">
        <v>360</v>
      </c>
      <c r="F51" s="36" t="s">
        <v>357</v>
      </c>
    </row>
    <row r="52" spans="1:6" x14ac:dyDescent="0.35">
      <c r="A52" s="35">
        <v>45882</v>
      </c>
      <c r="B52" s="23">
        <v>1100</v>
      </c>
      <c r="C52" s="23"/>
      <c r="D52" s="23">
        <f>Table2345345687911121514161718192021222324252627283456789101134567891011123511131417[[#This Row],[Cash]]+Table2345345687911121514161718192021222324252627283456789101134567891011123511131417[[#This Row],[Account Transfer]]</f>
        <v>1100</v>
      </c>
      <c r="E52" s="22" t="s">
        <v>349</v>
      </c>
      <c r="F52" s="36" t="s">
        <v>357</v>
      </c>
    </row>
    <row r="53" spans="1:6" x14ac:dyDescent="0.35">
      <c r="A53" s="35">
        <v>45882</v>
      </c>
      <c r="B53" s="23">
        <v>170</v>
      </c>
      <c r="C53" s="23"/>
      <c r="D53" s="23">
        <f>Table2345345687911121514161718192021222324252627283456789101134567891011123511131417[[#This Row],[Cash]]+Table2345345687911121514161718192021222324252627283456789101134567891011123511131417[[#This Row],[Account Transfer]]</f>
        <v>170</v>
      </c>
      <c r="E53" s="22" t="s">
        <v>361</v>
      </c>
      <c r="F53" s="36" t="s">
        <v>362</v>
      </c>
    </row>
    <row r="54" spans="1:6" x14ac:dyDescent="0.35">
      <c r="A54" s="35">
        <v>45882</v>
      </c>
      <c r="B54" s="23">
        <v>2500</v>
      </c>
      <c r="C54" s="23"/>
      <c r="D54" s="23">
        <f>Table2345345687911121514161718192021222324252627283456789101134567891011123511131417[[#This Row],[Cash]]+Table2345345687911121514161718192021222324252627283456789101134567891011123511131417[[#This Row],[Account Transfer]]</f>
        <v>2500</v>
      </c>
      <c r="E54" s="22" t="s">
        <v>69</v>
      </c>
      <c r="F54" s="36" t="s">
        <v>69</v>
      </c>
    </row>
    <row r="55" spans="1:6" x14ac:dyDescent="0.35">
      <c r="A55" s="35">
        <v>45882</v>
      </c>
      <c r="B55" s="23">
        <v>80</v>
      </c>
      <c r="C55" s="23"/>
      <c r="D55" s="23">
        <f>Table2345345687911121514161718192021222324252627283456789101134567891011123511131417[[#This Row],[Cash]]+Table2345345687911121514161718192021222324252627283456789101134567891011123511131417[[#This Row],[Account Transfer]]</f>
        <v>80</v>
      </c>
      <c r="E55" s="22" t="s">
        <v>363</v>
      </c>
      <c r="F55" s="36" t="s">
        <v>48</v>
      </c>
    </row>
    <row r="56" spans="1:6" x14ac:dyDescent="0.35">
      <c r="A56" s="35">
        <v>45883</v>
      </c>
      <c r="B56" s="23">
        <v>5000</v>
      </c>
      <c r="C56" s="23"/>
      <c r="D56" s="23">
        <f>Table2345345687911121514161718192021222324252627283456789101134567891011123511131417[[#This Row],[Cash]]+Table2345345687911121514161718192021222324252627283456789101134567891011123511131417[[#This Row],[Account Transfer]]</f>
        <v>5000</v>
      </c>
      <c r="E56" s="22" t="s">
        <v>351</v>
      </c>
      <c r="F56" s="36" t="s">
        <v>85</v>
      </c>
    </row>
    <row r="57" spans="1:6" x14ac:dyDescent="0.35">
      <c r="A57" s="35">
        <v>45883</v>
      </c>
      <c r="B57" s="23">
        <v>140</v>
      </c>
      <c r="C57" s="23"/>
      <c r="D57" s="23">
        <f>Table2345345687911121514161718192021222324252627283456789101134567891011123511131417[[#This Row],[Cash]]+Table2345345687911121514161718192021222324252627283456789101134567891011123511131417[[#This Row],[Account Transfer]]</f>
        <v>140</v>
      </c>
      <c r="E57" s="22" t="s">
        <v>26</v>
      </c>
      <c r="F57" s="36" t="s">
        <v>48</v>
      </c>
    </row>
    <row r="58" spans="1:6" x14ac:dyDescent="0.35">
      <c r="A58" s="35">
        <v>45883</v>
      </c>
      <c r="B58" s="23">
        <v>1000</v>
      </c>
      <c r="C58" s="23"/>
      <c r="D58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58" s="22" t="s">
        <v>69</v>
      </c>
      <c r="F58" s="36" t="s">
        <v>297</v>
      </c>
    </row>
    <row r="59" spans="1:6" x14ac:dyDescent="0.35">
      <c r="A59" s="35">
        <v>45884</v>
      </c>
      <c r="B59" s="23">
        <v>70</v>
      </c>
      <c r="C59" s="23"/>
      <c r="D59" s="23">
        <f>Table2345345687911121514161718192021222324252627283456789101134567891011123511131417[[#This Row],[Cash]]+Table2345345687911121514161718192021222324252627283456789101134567891011123511131417[[#This Row],[Account Transfer]]</f>
        <v>70</v>
      </c>
      <c r="E59" s="22" t="s">
        <v>109</v>
      </c>
      <c r="F59" s="36" t="s">
        <v>42</v>
      </c>
    </row>
    <row r="60" spans="1:6" x14ac:dyDescent="0.35">
      <c r="A60" s="35">
        <v>45884</v>
      </c>
      <c r="B60" s="23"/>
      <c r="C60" s="23">
        <v>360</v>
      </c>
      <c r="D60" s="23">
        <f>Table2345345687911121514161718192021222324252627283456789101134567891011123511131417[[#This Row],[Cash]]+Table2345345687911121514161718192021222324252627283456789101134567891011123511131417[[#This Row],[Account Transfer]]</f>
        <v>360</v>
      </c>
      <c r="E60" s="22" t="s">
        <v>365</v>
      </c>
      <c r="F60" s="36" t="s">
        <v>48</v>
      </c>
    </row>
    <row r="61" spans="1:6" x14ac:dyDescent="0.35">
      <c r="A61" s="35">
        <v>45884</v>
      </c>
      <c r="B61" s="23">
        <v>120</v>
      </c>
      <c r="C61" s="23"/>
      <c r="D61" s="23">
        <f>Table2345345687911121514161718192021222324252627283456789101134567891011123511131417[[#This Row],[Cash]]+Table2345345687911121514161718192021222324252627283456789101134567891011123511131417[[#This Row],[Account Transfer]]</f>
        <v>120</v>
      </c>
      <c r="E61" s="22" t="s">
        <v>26</v>
      </c>
      <c r="F61" s="36" t="s">
        <v>48</v>
      </c>
    </row>
    <row r="62" spans="1:6" x14ac:dyDescent="0.35">
      <c r="A62" s="35">
        <v>45884</v>
      </c>
      <c r="B62" s="23">
        <v>1000</v>
      </c>
      <c r="C62" s="23"/>
      <c r="D62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62" s="22" t="s">
        <v>69</v>
      </c>
      <c r="F62" s="36" t="s">
        <v>297</v>
      </c>
    </row>
    <row r="63" spans="1:6" x14ac:dyDescent="0.35">
      <c r="A63" s="35">
        <v>45885</v>
      </c>
      <c r="B63" s="23">
        <v>1000</v>
      </c>
      <c r="C63" s="23"/>
      <c r="D63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63" s="22" t="s">
        <v>69</v>
      </c>
      <c r="F63" s="36" t="s">
        <v>297</v>
      </c>
    </row>
    <row r="64" spans="1:6" x14ac:dyDescent="0.35">
      <c r="A64" s="35">
        <v>45885</v>
      </c>
      <c r="B64" s="23">
        <v>130</v>
      </c>
      <c r="C64" s="23"/>
      <c r="D64" s="23">
        <f>Table2345345687911121514161718192021222324252627283456789101134567891011123511131417[[#This Row],[Cash]]+Table2345345687911121514161718192021222324252627283456789101134567891011123511131417[[#This Row],[Account Transfer]]</f>
        <v>130</v>
      </c>
      <c r="E64" s="22" t="s">
        <v>346</v>
      </c>
      <c r="F64" s="36" t="s">
        <v>26</v>
      </c>
    </row>
    <row r="65" spans="1:6" x14ac:dyDescent="0.35">
      <c r="A65" s="35">
        <v>45885</v>
      </c>
      <c r="B65" s="23">
        <v>550</v>
      </c>
      <c r="C65" s="23"/>
      <c r="D65" s="23">
        <f>Table2345345687911121514161718192021222324252627283456789101134567891011123511131417[[#This Row],[Cash]]+Table2345345687911121514161718192021222324252627283456789101134567891011123511131417[[#This Row],[Account Transfer]]</f>
        <v>550</v>
      </c>
      <c r="E65" s="22" t="s">
        <v>109</v>
      </c>
      <c r="F65" s="36" t="s">
        <v>357</v>
      </c>
    </row>
    <row r="66" spans="1:6" x14ac:dyDescent="0.35">
      <c r="A66" s="35">
        <v>45886</v>
      </c>
      <c r="B66" s="23">
        <v>150</v>
      </c>
      <c r="C66" s="23"/>
      <c r="D66" s="23">
        <f>Table2345345687911121514161718192021222324252627283456789101134567891011123511131417[[#This Row],[Cash]]+Table2345345687911121514161718192021222324252627283456789101134567891011123511131417[[#This Row],[Account Transfer]]</f>
        <v>150</v>
      </c>
      <c r="E66" s="22" t="s">
        <v>346</v>
      </c>
      <c r="F66" s="36" t="s">
        <v>26</v>
      </c>
    </row>
    <row r="67" spans="1:6" x14ac:dyDescent="0.35">
      <c r="A67" s="35">
        <v>45887</v>
      </c>
      <c r="B67" s="23">
        <v>500</v>
      </c>
      <c r="C67" s="23"/>
      <c r="D67" s="23">
        <f>Table2345345687911121514161718192021222324252627283456789101134567891011123511131417[[#This Row],[Cash]]+Table2345345687911121514161718192021222324252627283456789101134567891011123511131417[[#This Row],[Account Transfer]]</f>
        <v>500</v>
      </c>
      <c r="E67" s="22" t="s">
        <v>349</v>
      </c>
      <c r="F67" s="36" t="s">
        <v>48</v>
      </c>
    </row>
    <row r="68" spans="1:6" x14ac:dyDescent="0.35">
      <c r="A68" s="35">
        <v>45887</v>
      </c>
      <c r="B68" s="23">
        <v>135</v>
      </c>
      <c r="C68" s="23"/>
      <c r="D68" s="23">
        <f>Table2345345687911121514161718192021222324252627283456789101134567891011123511131417[[#This Row],[Cash]]+Table2345345687911121514161718192021222324252627283456789101134567891011123511131417[[#This Row],[Account Transfer]]</f>
        <v>135</v>
      </c>
      <c r="E68" s="22" t="s">
        <v>346</v>
      </c>
      <c r="F68" s="36" t="s">
        <v>26</v>
      </c>
    </row>
    <row r="69" spans="1:6" x14ac:dyDescent="0.35">
      <c r="A69" s="35">
        <v>45887</v>
      </c>
      <c r="B69" s="23">
        <v>2000</v>
      </c>
      <c r="C69" s="23"/>
      <c r="D69" s="23">
        <f>Table2345345687911121514161718192021222324252627283456789101134567891011123511131417[[#This Row],[Cash]]+Table2345345687911121514161718192021222324252627283456789101134567891011123511131417[[#This Row],[Account Transfer]]</f>
        <v>2000</v>
      </c>
      <c r="E69" s="22" t="s">
        <v>348</v>
      </c>
      <c r="F69" s="36" t="s">
        <v>103</v>
      </c>
    </row>
    <row r="70" spans="1:6" x14ac:dyDescent="0.35">
      <c r="A70" s="35">
        <v>45887</v>
      </c>
      <c r="B70" s="23">
        <v>50</v>
      </c>
      <c r="C70" s="23"/>
      <c r="D70" s="23">
        <f>Table2345345687911121514161718192021222324252627283456789101134567891011123511131417[[#This Row],[Cash]]+Table2345345687911121514161718192021222324252627283456789101134567891011123511131417[[#This Row],[Account Transfer]]</f>
        <v>50</v>
      </c>
      <c r="E70" s="22" t="s">
        <v>364</v>
      </c>
      <c r="F70" s="36" t="s">
        <v>48</v>
      </c>
    </row>
    <row r="71" spans="1:6" x14ac:dyDescent="0.35">
      <c r="A71" s="35">
        <v>45887</v>
      </c>
      <c r="B71" s="23">
        <v>135</v>
      </c>
      <c r="C71" s="23"/>
      <c r="D71" s="23">
        <f>Table2345345687911121514161718192021222324252627283456789101134567891011123511131417[[#This Row],[Cash]]+Table2345345687911121514161718192021222324252627283456789101134567891011123511131417[[#This Row],[Account Transfer]]</f>
        <v>135</v>
      </c>
      <c r="E71" s="22" t="s">
        <v>346</v>
      </c>
      <c r="F71" s="36" t="s">
        <v>26</v>
      </c>
    </row>
    <row r="72" spans="1:6" x14ac:dyDescent="0.35">
      <c r="A72" s="35">
        <v>45888</v>
      </c>
      <c r="B72" s="23">
        <v>170</v>
      </c>
      <c r="C72" s="23"/>
      <c r="D72" s="23">
        <f>Table2345345687911121514161718192021222324252627283456789101134567891011123511131417[[#This Row],[Cash]]+Table2345345687911121514161718192021222324252627283456789101134567891011123511131417[[#This Row],[Account Transfer]]</f>
        <v>170</v>
      </c>
      <c r="E72" s="22" t="s">
        <v>346</v>
      </c>
      <c r="F72" s="36" t="s">
        <v>26</v>
      </c>
    </row>
    <row r="73" spans="1:6" x14ac:dyDescent="0.35">
      <c r="A73" s="35">
        <v>45889</v>
      </c>
      <c r="B73" s="23">
        <v>420</v>
      </c>
      <c r="C73" s="23"/>
      <c r="D73" s="23">
        <f>Table2345345687911121514161718192021222324252627283456789101134567891011123511131417[[#This Row],[Cash]]+Table2345345687911121514161718192021222324252627283456789101134567891011123511131417[[#This Row],[Account Transfer]]</f>
        <v>420</v>
      </c>
      <c r="E73" s="22" t="s">
        <v>73</v>
      </c>
      <c r="F73" s="36" t="s">
        <v>48</v>
      </c>
    </row>
    <row r="74" spans="1:6" x14ac:dyDescent="0.35">
      <c r="A74" s="35">
        <v>45889</v>
      </c>
      <c r="B74" s="23">
        <v>1000</v>
      </c>
      <c r="C74" s="23"/>
      <c r="D74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74" s="22" t="s">
        <v>69</v>
      </c>
      <c r="F74" s="36" t="s">
        <v>297</v>
      </c>
    </row>
    <row r="75" spans="1:6" x14ac:dyDescent="0.35">
      <c r="A75" s="35">
        <v>45889</v>
      </c>
      <c r="B75" s="23">
        <v>60</v>
      </c>
      <c r="C75" s="23"/>
      <c r="D75" s="23">
        <f>Table2345345687911121514161718192021222324252627283456789101134567891011123511131417[[#This Row],[Cash]]+Table2345345687911121514161718192021222324252627283456789101134567891011123511131417[[#This Row],[Account Transfer]]</f>
        <v>60</v>
      </c>
      <c r="E75" s="22" t="s">
        <v>346</v>
      </c>
      <c r="F75" s="36" t="s">
        <v>26</v>
      </c>
    </row>
    <row r="76" spans="1:6" x14ac:dyDescent="0.35">
      <c r="A76" s="35">
        <v>45889</v>
      </c>
      <c r="B76" s="23"/>
      <c r="C76" s="23">
        <v>60000</v>
      </c>
      <c r="D76" s="23">
        <f>Table2345345687911121514161718192021222324252627283456789101134567891011123511131417[[#This Row],[Cash]]+Table2345345687911121514161718192021222324252627283456789101134567891011123511131417[[#This Row],[Account Transfer]]</f>
        <v>60000</v>
      </c>
      <c r="E76" s="22" t="s">
        <v>366</v>
      </c>
      <c r="F76" s="36" t="s">
        <v>75</v>
      </c>
    </row>
    <row r="77" spans="1:6" x14ac:dyDescent="0.35">
      <c r="A77" s="35">
        <v>45890</v>
      </c>
      <c r="B77" s="23">
        <v>1000</v>
      </c>
      <c r="C77" s="23"/>
      <c r="D77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77" s="22" t="s">
        <v>69</v>
      </c>
      <c r="F77" s="36" t="s">
        <v>74</v>
      </c>
    </row>
    <row r="78" spans="1:6" x14ac:dyDescent="0.35">
      <c r="A78" s="35">
        <v>45890</v>
      </c>
      <c r="B78" s="23">
        <v>150</v>
      </c>
      <c r="C78" s="23"/>
      <c r="D78" s="23">
        <f>Table2345345687911121514161718192021222324252627283456789101134567891011123511131417[[#This Row],[Cash]]+Table2345345687911121514161718192021222324252627283456789101134567891011123511131417[[#This Row],[Account Transfer]]</f>
        <v>150</v>
      </c>
      <c r="E78" s="22" t="s">
        <v>346</v>
      </c>
      <c r="F78" s="36" t="s">
        <v>26</v>
      </c>
    </row>
    <row r="79" spans="1:6" x14ac:dyDescent="0.35">
      <c r="A79" s="35">
        <v>45890</v>
      </c>
      <c r="B79" s="23">
        <v>5000</v>
      </c>
      <c r="C79" s="23"/>
      <c r="D79" s="23">
        <f>Table2345345687911121514161718192021222324252627283456789101134567891011123511131417[[#This Row],[Cash]]+Table2345345687911121514161718192021222324252627283456789101134567891011123511131417[[#This Row],[Account Transfer]]</f>
        <v>5000</v>
      </c>
      <c r="E79" s="22" t="s">
        <v>367</v>
      </c>
      <c r="F79" s="36" t="s">
        <v>344</v>
      </c>
    </row>
    <row r="80" spans="1:6" x14ac:dyDescent="0.35">
      <c r="A80" s="35">
        <v>45890</v>
      </c>
      <c r="B80" s="23"/>
      <c r="C80" s="23">
        <v>3820</v>
      </c>
      <c r="D80" s="23">
        <f>Table2345345687911121514161718192021222324252627283456789101134567891011123511131417[[#This Row],[Cash]]+Table2345345687911121514161718192021222324252627283456789101134567891011123511131417[[#This Row],[Account Transfer]]</f>
        <v>3820</v>
      </c>
      <c r="E80" s="22" t="s">
        <v>368</v>
      </c>
      <c r="F80" s="36" t="s">
        <v>45</v>
      </c>
    </row>
    <row r="81" spans="1:6" x14ac:dyDescent="0.35">
      <c r="A81" s="35">
        <v>45891</v>
      </c>
      <c r="B81" s="23">
        <v>1000</v>
      </c>
      <c r="C81" s="23"/>
      <c r="D81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81" s="22" t="s">
        <v>69</v>
      </c>
      <c r="F81" s="36" t="s">
        <v>74</v>
      </c>
    </row>
    <row r="82" spans="1:6" x14ac:dyDescent="0.35">
      <c r="A82" s="35">
        <v>45891</v>
      </c>
      <c r="B82" s="23">
        <v>150</v>
      </c>
      <c r="C82" s="23"/>
      <c r="D82" s="23">
        <f>Table2345345687911121514161718192021222324252627283456789101134567891011123511131417[[#This Row],[Cash]]+Table2345345687911121514161718192021222324252627283456789101134567891011123511131417[[#This Row],[Account Transfer]]</f>
        <v>150</v>
      </c>
      <c r="E82" s="22" t="s">
        <v>346</v>
      </c>
      <c r="F82" s="36" t="s">
        <v>26</v>
      </c>
    </row>
    <row r="83" spans="1:6" x14ac:dyDescent="0.35">
      <c r="A83" s="35">
        <v>45891</v>
      </c>
      <c r="B83" s="23"/>
      <c r="C83" s="23">
        <v>50000</v>
      </c>
      <c r="D83" s="23">
        <f>Table2345345687911121514161718192021222324252627283456789101134567891011123511131417[[#This Row],[Cash]]+Table2345345687911121514161718192021222324252627283456789101134567891011123511131417[[#This Row],[Account Transfer]]</f>
        <v>50000</v>
      </c>
      <c r="E83" s="22" t="s">
        <v>353</v>
      </c>
      <c r="F83" s="36" t="s">
        <v>45</v>
      </c>
    </row>
    <row r="84" spans="1:6" x14ac:dyDescent="0.35">
      <c r="A84" s="35">
        <v>45891</v>
      </c>
      <c r="B84" s="23"/>
      <c r="C84" s="23">
        <v>25000</v>
      </c>
      <c r="D84" s="23">
        <f>Table2345345687911121514161718192021222324252627283456789101134567891011123511131417[[#This Row],[Cash]]+Table2345345687911121514161718192021222324252627283456789101134567891011123511131417[[#This Row],[Account Transfer]]</f>
        <v>25000</v>
      </c>
      <c r="E84" s="22" t="s">
        <v>352</v>
      </c>
      <c r="F84" s="36" t="s">
        <v>45</v>
      </c>
    </row>
    <row r="85" spans="1:6" x14ac:dyDescent="0.35">
      <c r="A85" s="35">
        <v>45892</v>
      </c>
      <c r="B85" s="23">
        <v>6500</v>
      </c>
      <c r="C85" s="23"/>
      <c r="D85" s="23">
        <f>Table2345345687911121514161718192021222324252627283456789101134567891011123511131417[[#This Row],[Cash]]+Table2345345687911121514161718192021222324252627283456789101134567891011123511131417[[#This Row],[Account Transfer]]</f>
        <v>6500</v>
      </c>
      <c r="E85" s="22" t="s">
        <v>370</v>
      </c>
      <c r="F85" s="36" t="s">
        <v>45</v>
      </c>
    </row>
    <row r="86" spans="1:6" x14ac:dyDescent="0.35">
      <c r="A86" s="35">
        <v>45892</v>
      </c>
      <c r="B86" s="23">
        <v>1000</v>
      </c>
      <c r="C86" s="23"/>
      <c r="D86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86" s="22" t="s">
        <v>69</v>
      </c>
      <c r="F86" s="36" t="s">
        <v>74</v>
      </c>
    </row>
    <row r="87" spans="1:6" x14ac:dyDescent="0.35">
      <c r="A87" s="35">
        <v>45892</v>
      </c>
      <c r="B87" s="23">
        <v>150</v>
      </c>
      <c r="C87" s="23"/>
      <c r="D87" s="23">
        <f>Table2345345687911121514161718192021222324252627283456789101134567891011123511131417[[#This Row],[Cash]]+Table2345345687911121514161718192021222324252627283456789101134567891011123511131417[[#This Row],[Account Transfer]]</f>
        <v>150</v>
      </c>
      <c r="E87" s="22" t="s">
        <v>346</v>
      </c>
      <c r="F87" s="36" t="s">
        <v>26</v>
      </c>
    </row>
    <row r="88" spans="1:6" x14ac:dyDescent="0.35">
      <c r="A88" s="35">
        <v>45893</v>
      </c>
      <c r="B88" s="23">
        <v>1000</v>
      </c>
      <c r="C88" s="23"/>
      <c r="D88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88" s="22" t="s">
        <v>69</v>
      </c>
      <c r="F88" s="36" t="s">
        <v>74</v>
      </c>
    </row>
    <row r="89" spans="1:6" x14ac:dyDescent="0.35">
      <c r="A89" s="35">
        <v>45893</v>
      </c>
      <c r="B89" s="23">
        <v>150</v>
      </c>
      <c r="C89" s="23"/>
      <c r="D89" s="23">
        <f>Table2345345687911121514161718192021222324252627283456789101134567891011123511131417[[#This Row],[Cash]]+Table2345345687911121514161718192021222324252627283456789101134567891011123511131417[[#This Row],[Account Transfer]]</f>
        <v>150</v>
      </c>
      <c r="E89" s="22" t="s">
        <v>346</v>
      </c>
      <c r="F89" s="36" t="s">
        <v>26</v>
      </c>
    </row>
    <row r="90" spans="1:6" x14ac:dyDescent="0.35">
      <c r="A90" s="35">
        <v>45893</v>
      </c>
      <c r="B90" s="23">
        <v>200</v>
      </c>
      <c r="C90" s="23"/>
      <c r="D90" s="23">
        <f>Table2345345687911121514161718192021222324252627283456789101134567891011123511131417[[#This Row],[Cash]]+Table2345345687911121514161718192021222324252627283456789101134567891011123511131417[[#This Row],[Account Transfer]]</f>
        <v>200</v>
      </c>
      <c r="E90" s="22" t="s">
        <v>369</v>
      </c>
      <c r="F90" s="36" t="s">
        <v>26</v>
      </c>
    </row>
    <row r="91" spans="1:6" x14ac:dyDescent="0.35">
      <c r="A91" s="35">
        <v>45893</v>
      </c>
      <c r="B91" s="23">
        <v>2000</v>
      </c>
      <c r="C91" s="23"/>
      <c r="D91" s="23">
        <f>Table2345345687911121514161718192021222324252627283456789101134567891011123511131417[[#This Row],[Cash]]+Table2345345687911121514161718192021222324252627283456789101134567891011123511131417[[#This Row],[Account Transfer]]</f>
        <v>2000</v>
      </c>
      <c r="E91" s="22" t="s">
        <v>173</v>
      </c>
      <c r="F91" s="36" t="s">
        <v>45</v>
      </c>
    </row>
    <row r="92" spans="1:6" x14ac:dyDescent="0.35">
      <c r="A92" s="35">
        <v>45894</v>
      </c>
      <c r="B92" s="23">
        <v>1000</v>
      </c>
      <c r="C92" s="23"/>
      <c r="D92" s="23">
        <f>Table2345345687911121514161718192021222324252627283456789101134567891011123511131417[[#This Row],[Cash]]+Table2345345687911121514161718192021222324252627283456789101134567891011123511131417[[#This Row],[Account Transfer]]</f>
        <v>1000</v>
      </c>
      <c r="E92" s="22" t="s">
        <v>69</v>
      </c>
      <c r="F92" s="36" t="s">
        <v>74</v>
      </c>
    </row>
    <row r="93" spans="1:6" x14ac:dyDescent="0.35">
      <c r="A93" s="35">
        <v>45894</v>
      </c>
      <c r="B93" s="23">
        <v>150</v>
      </c>
      <c r="C93" s="23"/>
      <c r="D93" s="23">
        <f>Table2345345687911121514161718192021222324252627283456789101134567891011123511131417[[#This Row],[Cash]]+Table2345345687911121514161718192021222324252627283456789101134567891011123511131417[[#This Row],[Account Transfer]]</f>
        <v>150</v>
      </c>
      <c r="E93" s="22" t="s">
        <v>346</v>
      </c>
      <c r="F93" s="36" t="s">
        <v>26</v>
      </c>
    </row>
    <row r="94" spans="1:6" x14ac:dyDescent="0.35">
      <c r="A94" s="35"/>
      <c r="B94" s="23"/>
      <c r="C94" s="23"/>
      <c r="D9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94" s="22"/>
      <c r="F94" s="36"/>
    </row>
    <row r="95" spans="1:6" x14ac:dyDescent="0.35">
      <c r="A95" s="35"/>
      <c r="B95" s="23"/>
      <c r="C95" s="23"/>
      <c r="D9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95" s="22"/>
      <c r="F95" s="36"/>
    </row>
    <row r="96" spans="1:6" x14ac:dyDescent="0.35">
      <c r="A96" s="35"/>
      <c r="B96" s="23"/>
      <c r="C96" s="23"/>
      <c r="D9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96" s="22"/>
      <c r="F96" s="36"/>
    </row>
    <row r="97" spans="1:6" x14ac:dyDescent="0.35">
      <c r="A97" s="35"/>
      <c r="B97" s="23"/>
      <c r="C97" s="23"/>
      <c r="D9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97" s="22"/>
      <c r="F97" s="36"/>
    </row>
    <row r="98" spans="1:6" x14ac:dyDescent="0.35">
      <c r="A98" s="35"/>
      <c r="B98" s="23"/>
      <c r="C98" s="23"/>
      <c r="D9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98" s="22"/>
      <c r="F98" s="36"/>
    </row>
    <row r="99" spans="1:6" x14ac:dyDescent="0.35">
      <c r="A99" s="35"/>
      <c r="B99" s="23"/>
      <c r="C99" s="23"/>
      <c r="D9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99" s="22"/>
      <c r="F99" s="36"/>
    </row>
    <row r="100" spans="1:6" x14ac:dyDescent="0.35">
      <c r="A100" s="35"/>
      <c r="B100" s="23"/>
      <c r="C100" s="23"/>
      <c r="D10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0" s="22"/>
      <c r="F100" s="36"/>
    </row>
    <row r="101" spans="1:6" x14ac:dyDescent="0.35">
      <c r="A101" s="35"/>
      <c r="B101" s="23"/>
      <c r="C101" s="23"/>
      <c r="D10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1" s="22"/>
      <c r="F101" s="36"/>
    </row>
    <row r="102" spans="1:6" x14ac:dyDescent="0.35">
      <c r="A102" s="35"/>
      <c r="B102" s="23"/>
      <c r="C102" s="23"/>
      <c r="D10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2" s="22"/>
      <c r="F102" s="36"/>
    </row>
    <row r="103" spans="1:6" x14ac:dyDescent="0.35">
      <c r="A103" s="35"/>
      <c r="B103" s="23"/>
      <c r="C103" s="23"/>
      <c r="D10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3" s="22"/>
      <c r="F103" s="36"/>
    </row>
    <row r="104" spans="1:6" x14ac:dyDescent="0.35">
      <c r="A104" s="35"/>
      <c r="B104" s="23"/>
      <c r="C104" s="23"/>
      <c r="D10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4" s="22"/>
      <c r="F104" s="36"/>
    </row>
    <row r="105" spans="1:6" x14ac:dyDescent="0.35">
      <c r="A105" s="35"/>
      <c r="B105" s="23"/>
      <c r="C105" s="23"/>
      <c r="D10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5" s="22"/>
      <c r="F105" s="36"/>
    </row>
    <row r="106" spans="1:6" x14ac:dyDescent="0.35">
      <c r="A106" s="35"/>
      <c r="B106" s="23"/>
      <c r="C106" s="23"/>
      <c r="D10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6" s="22"/>
      <c r="F106" s="36"/>
    </row>
    <row r="107" spans="1:6" x14ac:dyDescent="0.35">
      <c r="A107" s="35"/>
      <c r="B107" s="23"/>
      <c r="C107" s="23"/>
      <c r="D10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7" s="22"/>
      <c r="F107" s="36"/>
    </row>
    <row r="108" spans="1:6" x14ac:dyDescent="0.35">
      <c r="A108" s="35"/>
      <c r="B108" s="23"/>
      <c r="C108" s="23"/>
      <c r="D10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8" s="22"/>
      <c r="F108" s="36"/>
    </row>
    <row r="109" spans="1:6" x14ac:dyDescent="0.35">
      <c r="A109" s="35"/>
      <c r="B109" s="23"/>
      <c r="C109" s="23"/>
      <c r="D10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09" s="22"/>
      <c r="F109" s="36"/>
    </row>
    <row r="110" spans="1:6" x14ac:dyDescent="0.35">
      <c r="A110" s="35"/>
      <c r="B110" s="23"/>
      <c r="C110" s="23"/>
      <c r="D11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0" s="22"/>
      <c r="F110" s="36"/>
    </row>
    <row r="111" spans="1:6" x14ac:dyDescent="0.35">
      <c r="A111" s="35"/>
      <c r="B111" s="23"/>
      <c r="C111" s="23"/>
      <c r="D11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1" s="22"/>
      <c r="F111" s="36"/>
    </row>
    <row r="112" spans="1:6" x14ac:dyDescent="0.35">
      <c r="A112" s="35"/>
      <c r="B112" s="23"/>
      <c r="C112" s="23"/>
      <c r="D11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2" s="22"/>
      <c r="F112" s="36"/>
    </row>
    <row r="113" spans="1:6" x14ac:dyDescent="0.35">
      <c r="A113" s="35"/>
      <c r="B113" s="23"/>
      <c r="C113" s="23"/>
      <c r="D11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3" s="22"/>
      <c r="F113" s="36"/>
    </row>
    <row r="114" spans="1:6" x14ac:dyDescent="0.35">
      <c r="A114" s="35"/>
      <c r="B114" s="23"/>
      <c r="C114" s="23"/>
      <c r="D11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4" s="22"/>
      <c r="F114" s="36"/>
    </row>
    <row r="115" spans="1:6" x14ac:dyDescent="0.35">
      <c r="A115" s="35"/>
      <c r="B115" s="23"/>
      <c r="C115" s="23"/>
      <c r="D11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5" s="22"/>
      <c r="F115" s="36"/>
    </row>
    <row r="116" spans="1:6" x14ac:dyDescent="0.35">
      <c r="A116" s="35"/>
      <c r="B116" s="23"/>
      <c r="C116" s="23"/>
      <c r="D11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6" s="22"/>
      <c r="F116" s="36"/>
    </row>
    <row r="117" spans="1:6" x14ac:dyDescent="0.35">
      <c r="A117" s="35"/>
      <c r="B117" s="23"/>
      <c r="C117" s="23"/>
      <c r="D11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7" s="22"/>
      <c r="F117" s="36"/>
    </row>
    <row r="118" spans="1:6" x14ac:dyDescent="0.35">
      <c r="A118" s="35"/>
      <c r="B118" s="23"/>
      <c r="C118" s="23"/>
      <c r="D11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8" s="22"/>
      <c r="F118" s="36"/>
    </row>
    <row r="119" spans="1:6" x14ac:dyDescent="0.35">
      <c r="A119" s="35"/>
      <c r="B119" s="23"/>
      <c r="C119" s="23"/>
      <c r="D11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19" s="44"/>
      <c r="F119" s="36"/>
    </row>
    <row r="120" spans="1:6" x14ac:dyDescent="0.35">
      <c r="A120" s="35"/>
      <c r="B120" s="23"/>
      <c r="C120" s="23"/>
      <c r="D12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0" s="22"/>
      <c r="F120" s="36"/>
    </row>
    <row r="121" spans="1:6" x14ac:dyDescent="0.35">
      <c r="A121" s="35"/>
      <c r="B121" s="23"/>
      <c r="C121" s="23"/>
      <c r="D12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1" s="22"/>
      <c r="F121" s="36"/>
    </row>
    <row r="122" spans="1:6" x14ac:dyDescent="0.35">
      <c r="A122" s="35"/>
      <c r="B122" s="23"/>
      <c r="C122" s="23"/>
      <c r="D12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2" s="22"/>
      <c r="F122" s="36"/>
    </row>
    <row r="123" spans="1:6" x14ac:dyDescent="0.35">
      <c r="A123" s="35"/>
      <c r="B123" s="23"/>
      <c r="C123" s="23"/>
      <c r="D12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3" s="22"/>
      <c r="F123" s="36"/>
    </row>
    <row r="124" spans="1:6" x14ac:dyDescent="0.35">
      <c r="A124" s="35"/>
      <c r="B124" s="23"/>
      <c r="C124" s="23"/>
      <c r="D12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4" s="22"/>
      <c r="F124" s="36"/>
    </row>
    <row r="125" spans="1:6" x14ac:dyDescent="0.35">
      <c r="A125" s="35"/>
      <c r="B125" s="23"/>
      <c r="C125" s="23"/>
      <c r="D12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5" s="22"/>
      <c r="F125" s="36"/>
    </row>
    <row r="126" spans="1:6" x14ac:dyDescent="0.35">
      <c r="A126" s="35"/>
      <c r="B126" s="23"/>
      <c r="C126" s="23"/>
      <c r="D12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6" s="22"/>
      <c r="F126" s="36"/>
    </row>
    <row r="127" spans="1:6" x14ac:dyDescent="0.35">
      <c r="A127" s="35"/>
      <c r="B127" s="23"/>
      <c r="C127" s="23"/>
      <c r="D12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7" s="22"/>
      <c r="F127" s="36"/>
    </row>
    <row r="128" spans="1:6" x14ac:dyDescent="0.35">
      <c r="A128" s="35"/>
      <c r="B128" s="23"/>
      <c r="C128" s="23"/>
      <c r="D12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8" s="22"/>
      <c r="F128" s="36"/>
    </row>
    <row r="129" spans="1:6" x14ac:dyDescent="0.35">
      <c r="A129" s="35"/>
      <c r="B129" s="23"/>
      <c r="C129" s="23"/>
      <c r="D12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29" s="22"/>
      <c r="F129" s="36"/>
    </row>
    <row r="130" spans="1:6" x14ac:dyDescent="0.35">
      <c r="A130" s="35"/>
      <c r="B130" s="23"/>
      <c r="C130" s="23"/>
      <c r="D13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0" s="22"/>
      <c r="F130" s="36"/>
    </row>
    <row r="131" spans="1:6" x14ac:dyDescent="0.35">
      <c r="A131" s="35"/>
      <c r="B131" s="23"/>
      <c r="C131" s="23"/>
      <c r="D13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1" s="22"/>
      <c r="F131" s="36"/>
    </row>
    <row r="132" spans="1:6" x14ac:dyDescent="0.35">
      <c r="A132" s="35"/>
      <c r="B132" s="23"/>
      <c r="C132" s="23"/>
      <c r="D13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2" s="22"/>
      <c r="F132" s="36"/>
    </row>
    <row r="133" spans="1:6" x14ac:dyDescent="0.35">
      <c r="A133" s="35"/>
      <c r="B133" s="23"/>
      <c r="C133" s="23"/>
      <c r="D13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3" s="22"/>
      <c r="F133" s="36"/>
    </row>
    <row r="134" spans="1:6" x14ac:dyDescent="0.35">
      <c r="A134" s="35"/>
      <c r="B134" s="23"/>
      <c r="C134" s="23"/>
      <c r="D13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4" s="22"/>
      <c r="F134" s="36"/>
    </row>
    <row r="135" spans="1:6" x14ac:dyDescent="0.35">
      <c r="A135" s="35"/>
      <c r="B135" s="23"/>
      <c r="C135" s="23"/>
      <c r="D13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5" s="22"/>
      <c r="F135" s="36"/>
    </row>
    <row r="136" spans="1:6" x14ac:dyDescent="0.35">
      <c r="A136" s="35"/>
      <c r="B136" s="23"/>
      <c r="C136" s="23"/>
      <c r="D13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6" s="22"/>
      <c r="F136" s="36"/>
    </row>
    <row r="137" spans="1:6" x14ac:dyDescent="0.35">
      <c r="A137" s="35"/>
      <c r="B137" s="23"/>
      <c r="C137" s="23"/>
      <c r="D13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7" s="22"/>
      <c r="F137" s="36"/>
    </row>
    <row r="138" spans="1:6" x14ac:dyDescent="0.35">
      <c r="A138" s="35"/>
      <c r="B138" s="23"/>
      <c r="C138" s="23"/>
      <c r="D13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8" s="22"/>
      <c r="F138" s="36"/>
    </row>
    <row r="139" spans="1:6" x14ac:dyDescent="0.35">
      <c r="A139" s="35"/>
      <c r="B139" s="23"/>
      <c r="C139" s="23"/>
      <c r="D13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39" s="22"/>
      <c r="F139" s="36"/>
    </row>
    <row r="140" spans="1:6" x14ac:dyDescent="0.35">
      <c r="A140" s="35"/>
      <c r="B140" s="23"/>
      <c r="C140" s="23"/>
      <c r="D14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0" s="22"/>
      <c r="F140" s="36"/>
    </row>
    <row r="141" spans="1:6" x14ac:dyDescent="0.35">
      <c r="A141" s="35"/>
      <c r="B141" s="23"/>
      <c r="C141" s="23"/>
      <c r="D14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1" s="22"/>
      <c r="F141" s="36"/>
    </row>
    <row r="142" spans="1:6" x14ac:dyDescent="0.35">
      <c r="A142" s="35"/>
      <c r="B142" s="23"/>
      <c r="C142" s="23"/>
      <c r="D14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2" s="22"/>
      <c r="F142" s="36"/>
    </row>
    <row r="143" spans="1:6" x14ac:dyDescent="0.35">
      <c r="A143" s="35"/>
      <c r="B143" s="23"/>
      <c r="C143" s="23"/>
      <c r="D14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3" s="22"/>
      <c r="F143" s="36"/>
    </row>
    <row r="144" spans="1:6" x14ac:dyDescent="0.35">
      <c r="A144" s="35"/>
      <c r="B144" s="23"/>
      <c r="C144" s="23"/>
      <c r="D14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4" s="22"/>
      <c r="F144" s="36"/>
    </row>
    <row r="145" spans="1:6" x14ac:dyDescent="0.35">
      <c r="A145" s="35"/>
      <c r="B145" s="23"/>
      <c r="C145" s="23"/>
      <c r="D14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5" s="22"/>
      <c r="F145" s="36"/>
    </row>
    <row r="146" spans="1:6" x14ac:dyDescent="0.35">
      <c r="A146" s="35"/>
      <c r="B146" s="23"/>
      <c r="C146" s="23"/>
      <c r="D14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6" s="22"/>
      <c r="F146" s="36"/>
    </row>
    <row r="147" spans="1:6" x14ac:dyDescent="0.35">
      <c r="A147" s="35"/>
      <c r="B147" s="23"/>
      <c r="C147" s="23"/>
      <c r="D14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7" s="22"/>
      <c r="F147" s="36"/>
    </row>
    <row r="148" spans="1:6" x14ac:dyDescent="0.35">
      <c r="A148" s="35"/>
      <c r="B148" s="23"/>
      <c r="C148" s="23"/>
      <c r="D14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8" s="22"/>
      <c r="F148" s="36"/>
    </row>
    <row r="149" spans="1:6" x14ac:dyDescent="0.35">
      <c r="A149" s="35"/>
      <c r="B149" s="23"/>
      <c r="C149" s="23"/>
      <c r="D14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49" s="22"/>
      <c r="F149" s="36"/>
    </row>
    <row r="150" spans="1:6" x14ac:dyDescent="0.35">
      <c r="A150" s="35"/>
      <c r="B150" s="23"/>
      <c r="C150" s="23"/>
      <c r="D15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0" s="22"/>
      <c r="F150" s="36"/>
    </row>
    <row r="151" spans="1:6" x14ac:dyDescent="0.35">
      <c r="A151" s="35"/>
      <c r="B151" s="23"/>
      <c r="C151" s="23"/>
      <c r="D15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1" s="22"/>
      <c r="F151" s="36"/>
    </row>
    <row r="152" spans="1:6" x14ac:dyDescent="0.35">
      <c r="A152" s="35"/>
      <c r="B152" s="23"/>
      <c r="C152" s="23"/>
      <c r="D15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2" s="22"/>
      <c r="F152" s="36"/>
    </row>
    <row r="153" spans="1:6" x14ac:dyDescent="0.35">
      <c r="A153" s="35"/>
      <c r="B153" s="23"/>
      <c r="C153" s="23"/>
      <c r="D15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3" s="22"/>
      <c r="F153" s="36"/>
    </row>
    <row r="154" spans="1:6" x14ac:dyDescent="0.35">
      <c r="A154" s="35"/>
      <c r="B154" s="23"/>
      <c r="C154" s="23"/>
      <c r="D15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4" s="22"/>
      <c r="F154" s="36"/>
    </row>
    <row r="155" spans="1:6" x14ac:dyDescent="0.35">
      <c r="A155" s="35"/>
      <c r="B155" s="23"/>
      <c r="C155" s="23"/>
      <c r="D15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5" s="22"/>
      <c r="F155" s="36"/>
    </row>
    <row r="156" spans="1:6" x14ac:dyDescent="0.35">
      <c r="A156" s="35"/>
      <c r="B156" s="23"/>
      <c r="C156" s="23"/>
      <c r="D15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6" s="22"/>
      <c r="F156" s="36"/>
    </row>
    <row r="157" spans="1:6" x14ac:dyDescent="0.35">
      <c r="A157" s="35"/>
      <c r="B157" s="23"/>
      <c r="C157" s="23"/>
      <c r="D15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7" s="22"/>
      <c r="F157" s="36"/>
    </row>
    <row r="158" spans="1:6" x14ac:dyDescent="0.35">
      <c r="A158" s="35"/>
      <c r="B158" s="23"/>
      <c r="C158" s="23"/>
      <c r="D15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8" s="22"/>
      <c r="F158" s="36"/>
    </row>
    <row r="159" spans="1:6" x14ac:dyDescent="0.35">
      <c r="A159" s="35"/>
      <c r="B159" s="23"/>
      <c r="C159" s="23"/>
      <c r="D15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59" s="22"/>
      <c r="F159" s="36"/>
    </row>
    <row r="160" spans="1:6" x14ac:dyDescent="0.35">
      <c r="A160" s="35"/>
      <c r="B160" s="23"/>
      <c r="C160" s="23"/>
      <c r="D16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0" s="22"/>
      <c r="F160" s="36"/>
    </row>
    <row r="161" spans="1:6" x14ac:dyDescent="0.35">
      <c r="A161" s="35"/>
      <c r="B161" s="23"/>
      <c r="C161" s="23"/>
      <c r="D16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1" s="22"/>
      <c r="F161" s="36"/>
    </row>
    <row r="162" spans="1:6" x14ac:dyDescent="0.35">
      <c r="A162" s="35"/>
      <c r="B162" s="23"/>
      <c r="C162" s="23"/>
      <c r="D16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2" s="22"/>
      <c r="F162" s="36"/>
    </row>
    <row r="163" spans="1:6" x14ac:dyDescent="0.35">
      <c r="A163" s="35"/>
      <c r="B163" s="23"/>
      <c r="C163" s="23"/>
      <c r="D16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3" s="22"/>
      <c r="F163" s="36"/>
    </row>
    <row r="164" spans="1:6" x14ac:dyDescent="0.35">
      <c r="A164" s="35"/>
      <c r="B164" s="23"/>
      <c r="C164" s="23"/>
      <c r="D16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4" s="22"/>
      <c r="F164" s="36"/>
    </row>
    <row r="165" spans="1:6" x14ac:dyDescent="0.35">
      <c r="A165" s="35"/>
      <c r="B165" s="23"/>
      <c r="C165" s="23"/>
      <c r="D16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5" s="22"/>
      <c r="F165" s="36"/>
    </row>
    <row r="166" spans="1:6" x14ac:dyDescent="0.35">
      <c r="A166" s="35"/>
      <c r="B166" s="23"/>
      <c r="C166" s="23"/>
      <c r="D16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6" s="22"/>
      <c r="F166" s="36"/>
    </row>
    <row r="167" spans="1:6" x14ac:dyDescent="0.35">
      <c r="A167" s="35"/>
      <c r="B167" s="23"/>
      <c r="C167" s="23"/>
      <c r="D16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7" s="22"/>
      <c r="F217" s="36"/>
    </row>
    <row r="218" spans="1:6" x14ac:dyDescent="0.35">
      <c r="A218" s="35"/>
      <c r="B218" s="23"/>
      <c r="C218" s="23"/>
      <c r="D21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8" s="22"/>
      <c r="F218" s="36"/>
    </row>
    <row r="219" spans="1:6" x14ac:dyDescent="0.35">
      <c r="A219" s="35"/>
      <c r="B219" s="23"/>
      <c r="C219" s="23"/>
      <c r="D219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19" s="22"/>
      <c r="F219" s="36"/>
    </row>
    <row r="220" spans="1:6" x14ac:dyDescent="0.35">
      <c r="A220" s="35"/>
      <c r="B220" s="23"/>
      <c r="C220" s="23"/>
      <c r="D220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0" s="22"/>
      <c r="F220" s="36"/>
    </row>
    <row r="221" spans="1:6" x14ac:dyDescent="0.35">
      <c r="A221" s="35"/>
      <c r="B221" s="23"/>
      <c r="C221" s="23"/>
      <c r="D221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1" s="22"/>
      <c r="F221" s="36"/>
    </row>
    <row r="222" spans="1:6" x14ac:dyDescent="0.35">
      <c r="A222" s="35"/>
      <c r="B222" s="23"/>
      <c r="C222" s="23"/>
      <c r="D222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2" s="22"/>
      <c r="F222" s="36"/>
    </row>
    <row r="223" spans="1:6" x14ac:dyDescent="0.35">
      <c r="A223" s="35"/>
      <c r="B223" s="23"/>
      <c r="C223" s="23"/>
      <c r="D223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3" s="22"/>
      <c r="F223" s="36"/>
    </row>
    <row r="224" spans="1:6" x14ac:dyDescent="0.35">
      <c r="A224" s="35"/>
      <c r="B224" s="23"/>
      <c r="C224" s="23"/>
      <c r="D224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4" s="22"/>
      <c r="F224" s="36"/>
    </row>
    <row r="225" spans="1:6" x14ac:dyDescent="0.35">
      <c r="A225" s="35"/>
      <c r="B225" s="23"/>
      <c r="C225" s="23"/>
      <c r="D225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5" s="22"/>
      <c r="F225" s="36"/>
    </row>
    <row r="226" spans="1:6" x14ac:dyDescent="0.35">
      <c r="A226" s="35"/>
      <c r="B226" s="23"/>
      <c r="C226" s="23"/>
      <c r="D226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6" s="22"/>
      <c r="F226" s="36"/>
    </row>
    <row r="227" spans="1:6" x14ac:dyDescent="0.35">
      <c r="A227" s="35"/>
      <c r="B227" s="23"/>
      <c r="C227" s="23"/>
      <c r="D227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7" s="22"/>
      <c r="F227" s="36"/>
    </row>
    <row r="228" spans="1:6" x14ac:dyDescent="0.35">
      <c r="A228" s="37"/>
      <c r="B228" s="38"/>
      <c r="C228" s="38"/>
      <c r="D228" s="23">
        <f>Table2345345687911121514161718192021222324252627283456789101134567891011123511131417[[#This Row],[Cash]]+Table2345345687911121514161718192021222324252627283456789101134567891011123511131417[[#This Row],[Account Transfer]]</f>
        <v>0</v>
      </c>
      <c r="E228" s="39"/>
      <c r="F228" s="4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8B0C-F581-4894-B12F-86279358DCFF}">
  <dimension ref="A1:V48"/>
  <sheetViews>
    <sheetView zoomScale="90" zoomScaleNormal="90" workbookViewId="0">
      <pane ySplit="1" topLeftCell="A24" activePane="bottomLeft" state="frozen"/>
      <selection activeCell="H28" sqref="H28"/>
      <selection pane="bottomLeft" activeCell="F34" sqref="F34"/>
    </sheetView>
  </sheetViews>
  <sheetFormatPr defaultColWidth="26" defaultRowHeight="14.5" x14ac:dyDescent="0.35"/>
  <cols>
    <col min="1" max="1" width="27.906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309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Table23453456879111215141617181920212223242526272834567891011345678910111241012151618[[#This Row],[Profit]]-Table23453456879111215141617181920212223242526272834567891011345678910111241012151618[[#This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 t="shared" ref="F2:F33" si="2">G2+H2</f>
        <v>0</v>
      </c>
      <c r="G2" s="7"/>
      <c r="H2" s="7"/>
      <c r="I2" s="7"/>
      <c r="J2" s="7"/>
      <c r="K2" s="7">
        <f>Table23453456879111215141617181920212223242526272834567891011345678910111241012151618[[#This Row],[Account Transfer]]-Table23453456879111215141617181920212223242526272834567891011345678910111241012151618[[#This Row],[Expense Online]]</f>
        <v>0</v>
      </c>
      <c r="L2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0</v>
      </c>
      <c r="M2" s="7">
        <f>Table23453456879111215141617181920212223242526272834567891011345678910111241012151618[[#This Row],[Cash]]-Table23453456879111215141617181920212223242526272834567891011345678910111241012151618[[#This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45901</v>
      </c>
      <c r="B3" s="7">
        <f>Table23453456879111215141617181920212223242526272834567891011345678910111241012151618[[#This Row],[Profit]]-Table23453456879111215141617181920212223242526272834567891011345678910111241012151618[[#This Row],[Mulbhag]]</f>
        <v>3663.2</v>
      </c>
      <c r="C3" s="28">
        <f>Table23453456879111215141617181920212223242526272834567891011345678910111241012151618[[#This Row],[Profit]]/3</f>
        <v>1831.6000000000001</v>
      </c>
      <c r="D3" s="7">
        <f t="shared" si="0"/>
        <v>5494.8</v>
      </c>
      <c r="E3" s="7">
        <f t="shared" si="1"/>
        <v>12821.2</v>
      </c>
      <c r="F3" s="7">
        <f t="shared" si="2"/>
        <v>18316</v>
      </c>
      <c r="G3" s="7">
        <v>1186</v>
      </c>
      <c r="H3" s="7">
        <v>17130</v>
      </c>
      <c r="I3" s="7">
        <v>1010</v>
      </c>
      <c r="J3" s="7">
        <f>IFERROR(VLOOKUP(Table23453456879111215141617181920212223242526272834567891011345678910111241012151618[[#This Row],[Date]],'Sept Expense'!H1:K248,4,0),0)</f>
        <v>0</v>
      </c>
      <c r="K3" s="7">
        <f>Table23453456879111215141617181920212223242526272834567891011345678910111241012151618[[#This Row],[Account Transfer]]-Table23453456879111215141617181920212223242526272834567891011345678910111241012151618[[#This Row],[Expense Online]]</f>
        <v>17130</v>
      </c>
      <c r="L3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-5318.8</v>
      </c>
      <c r="M3" s="7">
        <f>Table23453456879111215141617181920212223242526272834567891011345678910111241012151618[[#This Row],[Cash]]-Table23453456879111215141617181920212223242526272834567891011345678910111241012151618[[#This Row],[Expense]]</f>
        <v>176</v>
      </c>
      <c r="N3" s="45"/>
      <c r="O3" s="10">
        <f t="shared" ref="O3:O9" si="3">A3</f>
        <v>45901</v>
      </c>
      <c r="P3" s="11">
        <f>Q3/3</f>
        <v>1831.6000000000001</v>
      </c>
      <c r="Q3" s="11">
        <f>S3*0.3</f>
        <v>5494.8</v>
      </c>
      <c r="R3" s="11">
        <f t="shared" ref="R3:R9" si="4">S3-Q3</f>
        <v>12821.2</v>
      </c>
      <c r="S3" s="11">
        <f>T3+U3</f>
        <v>18316</v>
      </c>
      <c r="T3" s="11">
        <f t="shared" ref="T3:T9" si="5">VLOOKUP(O3,$A$1:$J$34,7,0)</f>
        <v>1186</v>
      </c>
      <c r="U3" s="11">
        <f t="shared" ref="U3:U9" si="6">VLOOKUP(O3,$A$1:$J$34,8,0)</f>
        <v>17130</v>
      </c>
      <c r="V3" s="11">
        <f t="shared" ref="V3:V9" si="7">VLOOKUP(O3,$A$1:$J$34,9,0)</f>
        <v>1010</v>
      </c>
    </row>
    <row r="4" spans="1:22" x14ac:dyDescent="0.35">
      <c r="A4" s="6">
        <v>45902</v>
      </c>
      <c r="B4" s="7">
        <f>Table23453456879111215141617181920212223242526272834567891011345678910111241012151618[[#This Row],[Profit]]-Table23453456879111215141617181920212223242526272834567891011345678910111241012151618[[#This Row],[Mulbhag]]</f>
        <v>1076.1999999999998</v>
      </c>
      <c r="C4" s="28">
        <f>Table23453456879111215141617181920212223242526272834567891011345678910111241012151618[[#This Row],[Profit]]/3</f>
        <v>538.1</v>
      </c>
      <c r="D4" s="7">
        <f t="shared" si="0"/>
        <v>1614.3</v>
      </c>
      <c r="E4" s="7">
        <f t="shared" si="1"/>
        <v>3766.7</v>
      </c>
      <c r="F4" s="7">
        <f t="shared" si="2"/>
        <v>5381</v>
      </c>
      <c r="G4" s="7">
        <v>1500</v>
      </c>
      <c r="H4" s="7">
        <v>3881</v>
      </c>
      <c r="I4" s="7">
        <f>5200+3500+500+650+150</f>
        <v>10000</v>
      </c>
      <c r="J4" s="7">
        <f>IFERROR(VLOOKUP(Table23453456879111215141617181920212223242526272834567891011345678910111241012151618[[#This Row],[Date]],'Sept Expense'!H2:K249,4,0),0)</f>
        <v>0</v>
      </c>
      <c r="K4" s="7">
        <f>Table23453456879111215141617181920212223242526272834567891011345678910111241012151618[[#This Row],[Account Transfer]]-Table23453456879111215141617181920212223242526272834567891011345678910111241012151618[[#This Row],[Expense Online]]</f>
        <v>3881</v>
      </c>
      <c r="L4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-10114.299999999999</v>
      </c>
      <c r="M4" s="7">
        <f>Table23453456879111215141617181920212223242526272834567891011345678910111241012151618[[#This Row],[Cash]]-Table23453456879111215141617181920212223242526272834567891011345678910111241012151618[[#This Row],[Expense]]</f>
        <v>-8500</v>
      </c>
      <c r="N4" s="45"/>
      <c r="O4" s="8">
        <f t="shared" si="3"/>
        <v>45902</v>
      </c>
      <c r="P4" s="9">
        <f>Q4/3</f>
        <v>538.1</v>
      </c>
      <c r="Q4" s="9">
        <f>S4*0.3</f>
        <v>1614.3</v>
      </c>
      <c r="R4" s="9">
        <f t="shared" si="4"/>
        <v>3766.7</v>
      </c>
      <c r="S4" s="9">
        <f t="shared" ref="S4:S9" si="8">T4+U4</f>
        <v>5381</v>
      </c>
      <c r="T4" s="9">
        <f t="shared" si="5"/>
        <v>1500</v>
      </c>
      <c r="U4" s="9">
        <f t="shared" si="6"/>
        <v>3881</v>
      </c>
      <c r="V4" s="9">
        <f t="shared" si="7"/>
        <v>10000</v>
      </c>
    </row>
    <row r="5" spans="1:22" x14ac:dyDescent="0.35">
      <c r="A5" s="6">
        <v>45903</v>
      </c>
      <c r="B5" s="7">
        <f>Table23453456879111215141617181920212223242526272834567891011345678910111241012151618[[#This Row],[Profit]]-Table23453456879111215141617181920212223242526272834567891011345678910111241012151618[[#This Row],[Mulbhag]]</f>
        <v>3188</v>
      </c>
      <c r="C5" s="28">
        <f>Table23453456879111215141617181920212223242526272834567891011345678910111241012151618[[#This Row],[Profit]]/3</f>
        <v>1594</v>
      </c>
      <c r="D5" s="7">
        <f t="shared" si="0"/>
        <v>4782</v>
      </c>
      <c r="E5" s="7">
        <f t="shared" si="1"/>
        <v>11158</v>
      </c>
      <c r="F5" s="7">
        <f t="shared" si="2"/>
        <v>15940</v>
      </c>
      <c r="G5" s="7">
        <f>3000+30+1000+200+100+3200</f>
        <v>7530</v>
      </c>
      <c r="H5" s="7">
        <f>50+4560+3800</f>
        <v>8410</v>
      </c>
      <c r="I5" s="7">
        <v>1090</v>
      </c>
      <c r="J5" s="7">
        <f>IFERROR(VLOOKUP(Table23453456879111215141617181920212223242526272834567891011345678910111241012151618[[#This Row],[Date]],'Sept Expense'!H3:K250,4,0),0)</f>
        <v>0</v>
      </c>
      <c r="K5" s="7">
        <f>Table23453456879111215141617181920212223242526272834567891011345678910111241012151618[[#This Row],[Account Transfer]]-Table23453456879111215141617181920212223242526272834567891011345678910111241012151618[[#This Row],[Expense Online]]</f>
        <v>8410</v>
      </c>
      <c r="L5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1658</v>
      </c>
      <c r="M5" s="7">
        <f>Table23453456879111215141617181920212223242526272834567891011345678910111241012151618[[#This Row],[Cash]]-Table23453456879111215141617181920212223242526272834567891011345678910111241012151618[[#This Row],[Expense]]</f>
        <v>6440</v>
      </c>
      <c r="N5" s="45"/>
      <c r="O5" s="10">
        <f t="shared" si="3"/>
        <v>45903</v>
      </c>
      <c r="P5" s="11">
        <f t="shared" ref="P5:P9" si="9">Q5/3</f>
        <v>1594</v>
      </c>
      <c r="Q5" s="11">
        <f t="shared" ref="Q5:Q9" si="10">S5*0.3</f>
        <v>4782</v>
      </c>
      <c r="R5" s="11">
        <f t="shared" si="4"/>
        <v>11158</v>
      </c>
      <c r="S5" s="11">
        <f t="shared" si="8"/>
        <v>15940</v>
      </c>
      <c r="T5" s="11">
        <f t="shared" si="5"/>
        <v>7530</v>
      </c>
      <c r="U5" s="11">
        <f t="shared" si="6"/>
        <v>8410</v>
      </c>
      <c r="V5" s="11">
        <f t="shared" si="7"/>
        <v>1090</v>
      </c>
    </row>
    <row r="6" spans="1:22" x14ac:dyDescent="0.35">
      <c r="A6" s="6">
        <v>45904</v>
      </c>
      <c r="B6" s="7">
        <f>Table23453456879111215141617181920212223242526272834567891011345678910111241012151618[[#This Row],[Profit]]-Table23453456879111215141617181920212223242526272834567891011345678910111241012151618[[#This Row],[Mulbhag]]</f>
        <v>4949</v>
      </c>
      <c r="C6" s="28">
        <f>Table23453456879111215141617181920212223242526272834567891011345678910111241012151618[[#This Row],[Profit]]/3</f>
        <v>2474.5</v>
      </c>
      <c r="D6" s="7">
        <f t="shared" si="0"/>
        <v>7423.5</v>
      </c>
      <c r="E6" s="7">
        <f t="shared" si="1"/>
        <v>17321.5</v>
      </c>
      <c r="F6" s="7">
        <f t="shared" si="2"/>
        <v>24745</v>
      </c>
      <c r="G6" s="7">
        <f>720+250+180+850+30+60+8280+80+490+200+140</f>
        <v>11280</v>
      </c>
      <c r="H6" s="7">
        <f>6165+300+4000+1500+1500</f>
        <v>13465</v>
      </c>
      <c r="I6" s="7">
        <v>1090</v>
      </c>
      <c r="J6" s="7">
        <f>IFERROR(VLOOKUP(Table23453456879111215141617181920212223242526272834567891011345678910111241012151618[[#This Row],[Date]],'Sept Expense'!H4:K251,4,0),0)</f>
        <v>0</v>
      </c>
      <c r="K6" s="7">
        <f>Table23453456879111215141617181920212223242526272834567891011345678910111241012151618[[#This Row],[Account Transfer]]-Table23453456879111215141617181920212223242526272834567891011345678910111241012151618[[#This Row],[Expense Online]]</f>
        <v>13465</v>
      </c>
      <c r="L6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2766.5</v>
      </c>
      <c r="M6" s="7">
        <f>Table23453456879111215141617181920212223242526272834567891011345678910111241012151618[[#This Row],[Cash]]-Table23453456879111215141617181920212223242526272834567891011345678910111241012151618[[#This Row],[Expense]]</f>
        <v>10190</v>
      </c>
      <c r="N6" s="45"/>
      <c r="O6" s="8">
        <f t="shared" si="3"/>
        <v>45904</v>
      </c>
      <c r="P6" s="9">
        <f t="shared" si="9"/>
        <v>2474.5</v>
      </c>
      <c r="Q6" s="9">
        <f t="shared" si="10"/>
        <v>7423.5</v>
      </c>
      <c r="R6" s="9">
        <f t="shared" si="4"/>
        <v>17321.5</v>
      </c>
      <c r="S6" s="9">
        <f t="shared" si="8"/>
        <v>24745</v>
      </c>
      <c r="T6" s="9">
        <f t="shared" si="5"/>
        <v>11280</v>
      </c>
      <c r="U6" s="9">
        <f t="shared" si="6"/>
        <v>13465</v>
      </c>
      <c r="V6" s="9">
        <f t="shared" si="7"/>
        <v>1090</v>
      </c>
    </row>
    <row r="7" spans="1:22" x14ac:dyDescent="0.35">
      <c r="A7" s="6">
        <v>45905</v>
      </c>
      <c r="B7" s="7">
        <f>Table23453456879111215141617181920212223242526272834567891011345678910111241012151618[[#This Row],[Profit]]-Table23453456879111215141617181920212223242526272834567891011345678910111241012151618[[#This Row],[Mulbhag]]</f>
        <v>5208</v>
      </c>
      <c r="C7" s="28">
        <f>Table23453456879111215141617181920212223242526272834567891011345678910111241012151618[[#This Row],[Profit]]/3</f>
        <v>2604</v>
      </c>
      <c r="D7" s="7">
        <f t="shared" si="0"/>
        <v>7812</v>
      </c>
      <c r="E7" s="7">
        <f t="shared" si="1"/>
        <v>18228</v>
      </c>
      <c r="F7" s="7">
        <f t="shared" si="2"/>
        <v>26040</v>
      </c>
      <c r="G7" s="7">
        <f>250+180+30+4000+10240+800+100+100+50+160+350+760</f>
        <v>17020</v>
      </c>
      <c r="H7" s="7">
        <f>3500+730+4790</f>
        <v>9020</v>
      </c>
      <c r="I7" s="7">
        <f>3300+1250+100+200</f>
        <v>4850</v>
      </c>
      <c r="J7" s="7">
        <f>IFERROR(VLOOKUP(Table23453456879111215141617181920212223242526272834567891011345678910111241012151618[[#This Row],[Date]],'Sept Expense'!H5:K252,4,0),0)</f>
        <v>0</v>
      </c>
      <c r="K7" s="7">
        <f>Table23453456879111215141617181920212223242526272834567891011345678910111241012151618[[#This Row],[Account Transfer]]-Table23453456879111215141617181920212223242526272834567891011345678910111241012151618[[#This Row],[Expense Online]]</f>
        <v>9020</v>
      </c>
      <c r="L7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4358</v>
      </c>
      <c r="M7" s="7">
        <f>Table23453456879111215141617181920212223242526272834567891011345678910111241012151618[[#This Row],[Cash]]-Table23453456879111215141617181920212223242526272834567891011345678910111241012151618[[#This Row],[Expense]]</f>
        <v>12170</v>
      </c>
      <c r="N7" s="45"/>
      <c r="O7" s="10">
        <f t="shared" si="3"/>
        <v>45905</v>
      </c>
      <c r="P7" s="11">
        <f t="shared" si="9"/>
        <v>2604</v>
      </c>
      <c r="Q7" s="11">
        <f t="shared" si="10"/>
        <v>7812</v>
      </c>
      <c r="R7" s="11">
        <f t="shared" si="4"/>
        <v>18228</v>
      </c>
      <c r="S7" s="11">
        <f t="shared" si="8"/>
        <v>26040</v>
      </c>
      <c r="T7" s="11">
        <f t="shared" si="5"/>
        <v>17020</v>
      </c>
      <c r="U7" s="11">
        <f t="shared" si="6"/>
        <v>9020</v>
      </c>
      <c r="V7" s="11">
        <f t="shared" si="7"/>
        <v>4850</v>
      </c>
    </row>
    <row r="8" spans="1:22" x14ac:dyDescent="0.35">
      <c r="A8" s="6">
        <v>45906</v>
      </c>
      <c r="B8" s="7">
        <f>Table23453456879111215141617181920212223242526272834567891011345678910111241012151618[[#This Row],[Profit]]-Table23453456879111215141617181920212223242526272834567891011345678910111241012151618[[#This Row],[Mulbhag]]</f>
        <v>3898.2</v>
      </c>
      <c r="C8" s="28">
        <f>Table23453456879111215141617181920212223242526272834567891011345678910111241012151618[[#This Row],[Profit]]/3</f>
        <v>1949.1000000000001</v>
      </c>
      <c r="D8" s="7">
        <f t="shared" si="0"/>
        <v>5847.3</v>
      </c>
      <c r="E8" s="7">
        <f t="shared" si="1"/>
        <v>13643.7</v>
      </c>
      <c r="F8" s="7">
        <f t="shared" si="2"/>
        <v>19491</v>
      </c>
      <c r="G8" s="7">
        <f>400+130+5000</f>
        <v>5530</v>
      </c>
      <c r="H8" s="7">
        <f>14545-3100-2000-1100+5616</f>
        <v>13961</v>
      </c>
      <c r="I8" s="7">
        <v>170</v>
      </c>
      <c r="J8" s="7">
        <f>IFERROR(VLOOKUP(Table23453456879111215141617181920212223242526272834567891011345678910111241012151618[[#This Row],[Date]],'Sept Expense'!H6:K253,4,0),0)</f>
        <v>0</v>
      </c>
      <c r="K8" s="7">
        <f>Table23453456879111215141617181920212223242526272834567891011345678910111241012151618[[#This Row],[Account Transfer]]-Table23453456879111215141617181920212223242526272834567891011345678910111241012151618[[#This Row],[Expense Online]]</f>
        <v>13961</v>
      </c>
      <c r="L8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-487.30000000000018</v>
      </c>
      <c r="M8" s="7">
        <f>Table23453456879111215141617181920212223242526272834567891011345678910111241012151618[[#This Row],[Cash]]-Table23453456879111215141617181920212223242526272834567891011345678910111241012151618[[#This Row],[Expense]]</f>
        <v>5360</v>
      </c>
      <c r="N8" s="45"/>
      <c r="O8" s="8">
        <f t="shared" si="3"/>
        <v>45906</v>
      </c>
      <c r="P8" s="9">
        <f t="shared" si="9"/>
        <v>1949.1000000000001</v>
      </c>
      <c r="Q8" s="9">
        <f t="shared" si="10"/>
        <v>5847.3</v>
      </c>
      <c r="R8" s="9">
        <f t="shared" si="4"/>
        <v>13643.7</v>
      </c>
      <c r="S8" s="9">
        <f t="shared" si="8"/>
        <v>19491</v>
      </c>
      <c r="T8" s="9">
        <f t="shared" si="5"/>
        <v>5530</v>
      </c>
      <c r="U8" s="9">
        <f t="shared" si="6"/>
        <v>13961</v>
      </c>
      <c r="V8" s="9">
        <f t="shared" si="7"/>
        <v>170</v>
      </c>
    </row>
    <row r="9" spans="1:22" x14ac:dyDescent="0.35">
      <c r="A9" s="6">
        <v>45907</v>
      </c>
      <c r="B9" s="7">
        <f>Table23453456879111215141617181920212223242526272834567891011345678910111241012151618[[#This Row],[Profit]]-Table23453456879111215141617181920212223242526272834567891011345678910111241012151618[[#This Row],[Mulbhag]]</f>
        <v>4960.1999999999989</v>
      </c>
      <c r="C9" s="43">
        <f>Table23453456879111215141617181920212223242526272834567891011345678910111241012151618[[#This Row],[Profit]]/3</f>
        <v>2480.1</v>
      </c>
      <c r="D9" s="7">
        <f t="shared" si="0"/>
        <v>7440.2999999999993</v>
      </c>
      <c r="E9" s="7">
        <f t="shared" si="1"/>
        <v>17360.7</v>
      </c>
      <c r="F9" s="7">
        <f t="shared" si="2"/>
        <v>24801</v>
      </c>
      <c r="G9" s="7">
        <v>700</v>
      </c>
      <c r="H9" s="7">
        <v>24101</v>
      </c>
      <c r="I9" s="7">
        <f>150+770+250</f>
        <v>1170</v>
      </c>
      <c r="J9" s="7">
        <f>IFERROR(VLOOKUP(Table23453456879111215141617181920212223242526272834567891011345678910111241012151618[[#This Row],[Date]],'Sept Expense'!H7:K254,4,0),0)</f>
        <v>0</v>
      </c>
      <c r="K9" s="7">
        <f>Table23453456879111215141617181920212223242526272834567891011345678910111241012151618[[#This Row],[Account Transfer]]-Table23453456879111215141617181920212223242526272834567891011345678910111241012151618[[#This Row],[Expense Online]]</f>
        <v>24101</v>
      </c>
      <c r="L9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-7910.2999999999993</v>
      </c>
      <c r="M9" s="7">
        <f>Table23453456879111215141617181920212223242526272834567891011345678910111241012151618[[#This Row],[Cash]]-Table23453456879111215141617181920212223242526272834567891011345678910111241012151618[[#This Row],[Expense]]</f>
        <v>-470</v>
      </c>
      <c r="N9" s="45"/>
      <c r="O9" s="10">
        <f t="shared" si="3"/>
        <v>45907</v>
      </c>
      <c r="P9" s="11">
        <f t="shared" si="9"/>
        <v>2480.1</v>
      </c>
      <c r="Q9" s="11">
        <f t="shared" si="10"/>
        <v>7440.2999999999993</v>
      </c>
      <c r="R9" s="11">
        <f t="shared" si="4"/>
        <v>17360.7</v>
      </c>
      <c r="S9" s="11">
        <f t="shared" si="8"/>
        <v>24801</v>
      </c>
      <c r="T9" s="11">
        <f t="shared" si="5"/>
        <v>700</v>
      </c>
      <c r="U9" s="11">
        <f t="shared" si="6"/>
        <v>24101</v>
      </c>
      <c r="V9" s="11">
        <f t="shared" si="7"/>
        <v>1170</v>
      </c>
    </row>
    <row r="10" spans="1:22" x14ac:dyDescent="0.35">
      <c r="A10" s="6">
        <v>45908</v>
      </c>
      <c r="B10" s="7">
        <f>Table23453456879111215141617181920212223242526272834567891011345678910111241012151618[[#This Row],[Profit]]-Table23453456879111215141617181920212223242526272834567891011345678910111241012151618[[#This Row],[Mulbhag]]</f>
        <v>5424.1999999999989</v>
      </c>
      <c r="C10" s="43">
        <f>Table23453456879111215141617181920212223242526272834567891011345678910111241012151618[[#This Row],[Profit]]/3</f>
        <v>2712.1</v>
      </c>
      <c r="D10" s="7">
        <f t="shared" si="0"/>
        <v>8136.2999999999993</v>
      </c>
      <c r="E10" s="7">
        <f t="shared" si="1"/>
        <v>18984.7</v>
      </c>
      <c r="F10" s="7">
        <f t="shared" si="2"/>
        <v>27121</v>
      </c>
      <c r="G10" s="7">
        <v>11270</v>
      </c>
      <c r="H10" s="7">
        <v>15851</v>
      </c>
      <c r="I10" s="7">
        <f>1060+7000+4000+6500+6400+3160</f>
        <v>28120</v>
      </c>
      <c r="J10" s="7">
        <f>IFERROR(VLOOKUP(Table23453456879111215141617181920212223242526272834567891011345678910111241012151618[[#This Row],[Date]],'Sept Expense'!H8:K255,4,0),0)</f>
        <v>0</v>
      </c>
      <c r="K10" s="7">
        <f>Table23453456879111215141617181920212223242526272834567891011345678910111241012151618[[#This Row],[Account Transfer]]-Table23453456879111215141617181920212223242526272834567891011345678910111241012151618[[#This Row],[Expense Online]]</f>
        <v>15851</v>
      </c>
      <c r="L10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-24986.3</v>
      </c>
      <c r="M10" s="7">
        <f>Table23453456879111215141617181920212223242526272834567891011345678910111241012151618[[#This Row],[Cash]]-Table23453456879111215141617181920212223242526272834567891011345678910111241012151618[[#This Row],[Expense]]</f>
        <v>-16850</v>
      </c>
      <c r="N10" s="45"/>
      <c r="O10" s="12" t="s">
        <v>3</v>
      </c>
      <c r="P10" s="12">
        <f>SUM(P3:P9)</f>
        <v>13471.400000000001</v>
      </c>
      <c r="Q10" s="12">
        <f>SUM(Q3:Q9)</f>
        <v>40414.199999999997</v>
      </c>
      <c r="R10" s="12">
        <f>SUM(R2:R9)</f>
        <v>94299.8</v>
      </c>
      <c r="S10" s="12">
        <f>SUM(S2:S9)</f>
        <v>134714</v>
      </c>
      <c r="T10" s="12">
        <f>SUM(T2:T9)</f>
        <v>44746</v>
      </c>
      <c r="U10" s="12">
        <f>SUM(U2:U9)</f>
        <v>89968</v>
      </c>
      <c r="V10" s="12">
        <f>SUM(V2:V9)</f>
        <v>19380</v>
      </c>
    </row>
    <row r="11" spans="1:22" x14ac:dyDescent="0.35">
      <c r="A11" s="6">
        <v>45909</v>
      </c>
      <c r="B11" s="7">
        <f>Table23453456879111215141617181920212223242526272834567891011345678910111241012151618[[#This Row],[Profit]]-Table23453456879111215141617181920212223242526272834567891011345678910111241012151618[[#This Row],[Mulbhag]]</f>
        <v>7986</v>
      </c>
      <c r="C11" s="43">
        <f>Table23453456879111215141617181920212223242526272834567891011345678910111241012151618[[#This Row],[Profit]]/3</f>
        <v>3993</v>
      </c>
      <c r="D11" s="7">
        <f t="shared" si="0"/>
        <v>11979</v>
      </c>
      <c r="E11" s="7">
        <f t="shared" si="1"/>
        <v>27951</v>
      </c>
      <c r="F11" s="7">
        <f t="shared" si="2"/>
        <v>39930</v>
      </c>
      <c r="G11" s="7">
        <v>11460</v>
      </c>
      <c r="H11" s="7">
        <v>28470</v>
      </c>
      <c r="I11" s="7">
        <v>5300</v>
      </c>
      <c r="J11" s="7">
        <f>IFERROR(VLOOKUP(Table23453456879111215141617181920212223242526272834567891011345678910111241012151618[[#This Row],[Date]],'Sept Expense'!H9:K256,4,0),0)</f>
        <v>0</v>
      </c>
      <c r="K11" s="7">
        <f>Table23453456879111215141617181920212223242526272834567891011345678910111241012151618[[#This Row],[Account Transfer]]-Table23453456879111215141617181920212223242526272834567891011345678910111241012151618[[#This Row],[Expense Online]]</f>
        <v>28470</v>
      </c>
      <c r="L11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-5819</v>
      </c>
      <c r="M11" s="7">
        <f>Table23453456879111215141617181920212223242526272834567891011345678910111241012151618[[#This Row],[Cash]]-Table23453456879111215141617181920212223242526272834567891011345678910111241012151618[[#This Row],[Expense]]</f>
        <v>6160</v>
      </c>
      <c r="N11" s="45"/>
      <c r="O11" s="12" t="s">
        <v>7</v>
      </c>
      <c r="P11" s="12"/>
      <c r="Q11" s="12">
        <f>Q10/3</f>
        <v>13471.4</v>
      </c>
      <c r="R11" s="12"/>
      <c r="S11" s="12"/>
      <c r="T11" s="11"/>
      <c r="U11" s="11"/>
      <c r="V11" s="11"/>
    </row>
    <row r="12" spans="1:22" x14ac:dyDescent="0.35">
      <c r="A12" s="6">
        <v>45910</v>
      </c>
      <c r="B12" s="7">
        <f>Table23453456879111215141617181920212223242526272834567891011345678910111241012151618[[#This Row],[Profit]]-Table23453456879111215141617181920212223242526272834567891011345678910111241012151618[[#This Row],[Mulbhag]]</f>
        <v>3180.2</v>
      </c>
      <c r="C12" s="43">
        <f>Table23453456879111215141617181920212223242526272834567891011345678910111241012151618[[#This Row],[Profit]]/3</f>
        <v>1590.1000000000001</v>
      </c>
      <c r="D12" s="7">
        <f t="shared" si="0"/>
        <v>4770.3</v>
      </c>
      <c r="E12" s="7">
        <f t="shared" si="1"/>
        <v>11130.7</v>
      </c>
      <c r="F12" s="7">
        <f t="shared" si="2"/>
        <v>15901</v>
      </c>
      <c r="G12" s="7">
        <v>4860</v>
      </c>
      <c r="H12" s="7">
        <v>11041</v>
      </c>
      <c r="I12" s="7">
        <v>1000</v>
      </c>
      <c r="J12" s="7">
        <f>IFERROR(VLOOKUP(Table23453456879111215141617181920212223242526272834567891011345678910111241012151618[[#This Row],[Date]],'Sept Expense'!H10:K257,4,0),0)</f>
        <v>0</v>
      </c>
      <c r="K12" s="7">
        <f>Table23453456879111215141617181920212223242526272834567891011345678910111241012151618[[#This Row],[Account Transfer]]-Table23453456879111215141617181920212223242526272834567891011345678910111241012151618[[#This Row],[Expense Online]]</f>
        <v>11041</v>
      </c>
      <c r="L12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-910.30000000000018</v>
      </c>
      <c r="M12" s="7">
        <f>Table23453456879111215141617181920212223242526272834567891011345678910111241012151618[[#This Row],[Cash]]-Table23453456879111215141617181920212223242526272834567891011345678910111241012151618[[#This Row],[Expense]]</f>
        <v>3860</v>
      </c>
      <c r="N12" s="45"/>
    </row>
    <row r="13" spans="1:22" x14ac:dyDescent="0.35">
      <c r="A13" s="6">
        <v>45911</v>
      </c>
      <c r="B13" s="7">
        <f>Table23453456879111215141617181920212223242526272834567891011345678910111241012151618[[#This Row],[Profit]]-Table23453456879111215141617181920212223242526272834567891011345678910111241012151618[[#This Row],[Mulbhag]]</f>
        <v>1622</v>
      </c>
      <c r="C13" s="43">
        <f>Table23453456879111215141617181920212223242526272834567891011345678910111241012151618[[#This Row],[Profit]]/3</f>
        <v>811</v>
      </c>
      <c r="D13" s="7">
        <f t="shared" si="0"/>
        <v>2433</v>
      </c>
      <c r="E13" s="7">
        <f t="shared" si="1"/>
        <v>5677</v>
      </c>
      <c r="F13" s="7">
        <f t="shared" si="2"/>
        <v>8110</v>
      </c>
      <c r="G13" s="7">
        <v>3800</v>
      </c>
      <c r="H13" s="7">
        <v>4310</v>
      </c>
      <c r="I13" s="7">
        <v>2310</v>
      </c>
      <c r="J13" s="7">
        <f>IFERROR(VLOOKUP(Table23453456879111215141617181920212223242526272834567891011345678910111241012151618[[#This Row],[Date]],'Sept Expense'!H11:K258,4,0),0)</f>
        <v>0</v>
      </c>
      <c r="K13" s="7">
        <f>Table23453456879111215141617181920212223242526272834567891011345678910111241012151618[[#This Row],[Account Transfer]]-Table23453456879111215141617181920212223242526272834567891011345678910111241012151618[[#This Row],[Expense Online]]</f>
        <v>4310</v>
      </c>
      <c r="L13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-943</v>
      </c>
      <c r="M13" s="7">
        <f>Table23453456879111215141617181920212223242526272834567891011345678910111241012151618[[#This Row],[Cash]]-Table23453456879111215141617181920212223242526272834567891011345678910111241012151618[[#This Row],[Expense]]</f>
        <v>1490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45912</v>
      </c>
      <c r="B14" s="7">
        <f>Table23453456879111215141617181920212223242526272834567891011345678910111241012151618[[#This Row],[Profit]]-Table23453456879111215141617181920212223242526272834567891011345678910111241012151618[[#This Row],[Mulbhag]]</f>
        <v>10449</v>
      </c>
      <c r="C14" s="43">
        <f>Table23453456879111215141617181920212223242526272834567891011345678910111241012151618[[#This Row],[Profit]]/3</f>
        <v>5224.5</v>
      </c>
      <c r="D14" s="7">
        <f t="shared" si="0"/>
        <v>15673.5</v>
      </c>
      <c r="E14" s="7">
        <f t="shared" si="1"/>
        <v>36571.5</v>
      </c>
      <c r="F14" s="7">
        <f t="shared" si="2"/>
        <v>52245</v>
      </c>
      <c r="G14" s="7">
        <v>6675</v>
      </c>
      <c r="H14" s="7">
        <v>45570</v>
      </c>
      <c r="I14" s="7">
        <v>1850</v>
      </c>
      <c r="J14" s="7">
        <f>IFERROR(VLOOKUP(Table23453456879111215141617181920212223242526272834567891011345678910111241012151618[[#This Row],[Date]],'Sept Expense'!H12:K259,4,0),0)</f>
        <v>0</v>
      </c>
      <c r="K14" s="7">
        <f>Table23453456879111215141617181920212223242526272834567891011345678910111241012151618[[#This Row],[Account Transfer]]-Table23453456879111215141617181920212223242526272834567891011345678910111241012151618[[#This Row],[Expense Online]]</f>
        <v>45570</v>
      </c>
      <c r="L14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-10848.5</v>
      </c>
      <c r="M14" s="7">
        <f>Table23453456879111215141617181920212223242526272834567891011345678910111241012151618[[#This Row],[Cash]]-Table23453456879111215141617181920212223242526272834567891011345678910111241012151618[[#This Row],[Expense]]</f>
        <v>4825</v>
      </c>
      <c r="N14" s="45"/>
      <c r="O14" s="10">
        <f t="shared" ref="O14:O20" si="11">A10</f>
        <v>45908</v>
      </c>
      <c r="P14" s="11">
        <f>Q14/3</f>
        <v>2712.1</v>
      </c>
      <c r="Q14" s="11">
        <f>S14*0.3</f>
        <v>8136.2999999999993</v>
      </c>
      <c r="R14" s="11">
        <f t="shared" ref="R14:R20" si="12">S14-Q14</f>
        <v>18984.7</v>
      </c>
      <c r="S14" s="11">
        <f>T14+U14</f>
        <v>27121</v>
      </c>
      <c r="T14" s="11">
        <f t="shared" ref="T14:T20" si="13">VLOOKUP(O14,$A$1:$J$34,7,0)</f>
        <v>11270</v>
      </c>
      <c r="U14" s="11">
        <f t="shared" ref="U14:U20" si="14">VLOOKUP(O14,$A$1:$J$34,8,0)</f>
        <v>15851</v>
      </c>
      <c r="V14" s="11">
        <f t="shared" ref="V14:V20" si="15">VLOOKUP(O14,$A$1:$J$34,9,0)</f>
        <v>28120</v>
      </c>
    </row>
    <row r="15" spans="1:22" x14ac:dyDescent="0.35">
      <c r="A15" s="6">
        <v>45913</v>
      </c>
      <c r="B15" s="7">
        <f>Table23453456879111215141617181920212223242526272834567891011345678910111241012151618[[#This Row],[Profit]]-Table23453456879111215141617181920212223242526272834567891011345678910111241012151618[[#This Row],[Mulbhag]]</f>
        <v>4238</v>
      </c>
      <c r="C15" s="43">
        <f>Table23453456879111215141617181920212223242526272834567891011345678910111241012151618[[#This Row],[Profit]]/3</f>
        <v>2119</v>
      </c>
      <c r="D15" s="7">
        <f t="shared" si="0"/>
        <v>6357</v>
      </c>
      <c r="E15" s="7">
        <f t="shared" si="1"/>
        <v>14833</v>
      </c>
      <c r="F15" s="7">
        <f t="shared" si="2"/>
        <v>21190</v>
      </c>
      <c r="G15" s="7">
        <v>2000</v>
      </c>
      <c r="H15" s="7">
        <v>19190</v>
      </c>
      <c r="I15" s="7">
        <v>1090</v>
      </c>
      <c r="J15" s="7">
        <f>IFERROR(VLOOKUP(Table23453456879111215141617181920212223242526272834567891011345678910111241012151618[[#This Row],[Date]],'Sept Expense'!H13:K260,4,0),0)</f>
        <v>0</v>
      </c>
      <c r="K15" s="7">
        <f>Table23453456879111215141617181920212223242526272834567891011345678910111241012151618[[#This Row],[Account Transfer]]-Table23453456879111215141617181920212223242526272834567891011345678910111241012151618[[#This Row],[Expense Online]]</f>
        <v>19190</v>
      </c>
      <c r="L15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-5447</v>
      </c>
      <c r="M15" s="7">
        <f>Table23453456879111215141617181920212223242526272834567891011345678910111241012151618[[#This Row],[Cash]]-Table23453456879111215141617181920212223242526272834567891011345678910111241012151618[[#This Row],[Expense]]</f>
        <v>910</v>
      </c>
      <c r="N15" s="45"/>
      <c r="O15" s="8">
        <f t="shared" si="11"/>
        <v>45909</v>
      </c>
      <c r="P15" s="9">
        <f>Q15/3</f>
        <v>3993</v>
      </c>
      <c r="Q15" s="9">
        <f>S15*0.3</f>
        <v>11979</v>
      </c>
      <c r="R15" s="9">
        <f t="shared" si="12"/>
        <v>27951</v>
      </c>
      <c r="S15" s="9">
        <f t="shared" ref="S15:S20" si="16">T15+U15</f>
        <v>39930</v>
      </c>
      <c r="T15" s="9">
        <f t="shared" si="13"/>
        <v>11460</v>
      </c>
      <c r="U15" s="9">
        <f t="shared" si="14"/>
        <v>28470</v>
      </c>
      <c r="V15" s="9">
        <f t="shared" si="15"/>
        <v>5300</v>
      </c>
    </row>
    <row r="16" spans="1:22" x14ac:dyDescent="0.35">
      <c r="A16" s="6">
        <v>45914</v>
      </c>
      <c r="B16" s="7">
        <f>Table23453456879111215141617181920212223242526272834567891011345678910111241012151618[[#This Row],[Profit]]-Table23453456879111215141617181920212223242526272834567891011345678910111241012151618[[#This Row],[Mulbhag]]</f>
        <v>6628</v>
      </c>
      <c r="C16" s="110">
        <f>Table23453456879111215141617181920212223242526272834567891011345678910111241012151618[[#This Row],[Profit]]/3</f>
        <v>3314</v>
      </c>
      <c r="D16" s="7">
        <f t="shared" si="0"/>
        <v>9942</v>
      </c>
      <c r="E16" s="7">
        <f t="shared" si="1"/>
        <v>23198</v>
      </c>
      <c r="F16" s="7">
        <f t="shared" si="2"/>
        <v>33140</v>
      </c>
      <c r="G16" s="7">
        <v>5400</v>
      </c>
      <c r="H16" s="7">
        <v>27740</v>
      </c>
      <c r="I16" s="7">
        <v>1090</v>
      </c>
      <c r="J16" s="7">
        <f>IFERROR(VLOOKUP(Table23453456879111215141617181920212223242526272834567891011345678910111241012151618[[#This Row],[Date]],'Sept Expense'!H14:K261,4,0),0)</f>
        <v>0</v>
      </c>
      <c r="K16" s="7">
        <f>Table23453456879111215141617181920212223242526272834567891011345678910111241012151618[[#This Row],[Account Transfer]]-Table23453456879111215141617181920212223242526272834567891011345678910111241012151618[[#This Row],[Expense Online]]</f>
        <v>27740</v>
      </c>
      <c r="L16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-5632</v>
      </c>
      <c r="M16" s="7">
        <f>Table23453456879111215141617181920212223242526272834567891011345678910111241012151618[[#This Row],[Cash]]-Table23453456879111215141617181920212223242526272834567891011345678910111241012151618[[#This Row],[Expense]]</f>
        <v>4310</v>
      </c>
      <c r="N16" s="45"/>
      <c r="O16" s="10">
        <f t="shared" si="11"/>
        <v>45910</v>
      </c>
      <c r="P16" s="11">
        <f t="shared" ref="P16:P20" si="17">Q16/3</f>
        <v>1590.1000000000001</v>
      </c>
      <c r="Q16" s="11">
        <f t="shared" ref="Q16:Q20" si="18">S16*0.3</f>
        <v>4770.3</v>
      </c>
      <c r="R16" s="11">
        <f t="shared" si="12"/>
        <v>11130.7</v>
      </c>
      <c r="S16" s="11">
        <f t="shared" si="16"/>
        <v>15901</v>
      </c>
      <c r="T16" s="11">
        <f t="shared" si="13"/>
        <v>4860</v>
      </c>
      <c r="U16" s="11">
        <f t="shared" si="14"/>
        <v>11041</v>
      </c>
      <c r="V16" s="11">
        <f t="shared" si="15"/>
        <v>1000</v>
      </c>
    </row>
    <row r="17" spans="1:22" x14ac:dyDescent="0.35">
      <c r="A17" s="6">
        <v>45915</v>
      </c>
      <c r="B17" s="7">
        <f>Table23453456879111215141617181920212223242526272834567891011345678910111241012151618[[#This Row],[Profit]]-Table23453456879111215141617181920212223242526272834567891011345678910111241012151618[[#This Row],[Mulbhag]]</f>
        <v>4428</v>
      </c>
      <c r="C17" s="110">
        <f>Table23453456879111215141617181920212223242526272834567891011345678910111241012151618[[#This Row],[Profit]]/3</f>
        <v>2214</v>
      </c>
      <c r="D17" s="7">
        <f t="shared" si="0"/>
        <v>6642</v>
      </c>
      <c r="E17" s="7">
        <f t="shared" si="1"/>
        <v>15498</v>
      </c>
      <c r="F17" s="7">
        <f t="shared" si="2"/>
        <v>22140</v>
      </c>
      <c r="G17" s="7">
        <v>4950</v>
      </c>
      <c r="H17" s="7">
        <v>17190</v>
      </c>
      <c r="I17" s="7">
        <v>2250</v>
      </c>
      <c r="J17" s="7">
        <f>IFERROR(VLOOKUP(Table23453456879111215141617181920212223242526272834567891011345678910111241012151618[[#This Row],[Date]],'Sept Expense'!H15:K262,4,0),0)</f>
        <v>0</v>
      </c>
      <c r="K17" s="7">
        <f>Table23453456879111215141617181920212223242526272834567891011345678910111241012151618[[#This Row],[Account Transfer]]-Table23453456879111215141617181920212223242526272834567891011345678910111241012151618[[#This Row],[Expense Online]]</f>
        <v>17190</v>
      </c>
      <c r="L17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-3942</v>
      </c>
      <c r="M17" s="7">
        <f>Table23453456879111215141617181920212223242526272834567891011345678910111241012151618[[#This Row],[Cash]]-Table23453456879111215141617181920212223242526272834567891011345678910111241012151618[[#This Row],[Expense]]</f>
        <v>2700</v>
      </c>
      <c r="N17" s="45"/>
      <c r="O17" s="8">
        <f t="shared" si="11"/>
        <v>45911</v>
      </c>
      <c r="P17" s="9">
        <f t="shared" si="17"/>
        <v>811</v>
      </c>
      <c r="Q17" s="9">
        <f t="shared" si="18"/>
        <v>2433</v>
      </c>
      <c r="R17" s="9">
        <f t="shared" si="12"/>
        <v>5677</v>
      </c>
      <c r="S17" s="9">
        <f t="shared" si="16"/>
        <v>8110</v>
      </c>
      <c r="T17" s="9">
        <f t="shared" si="13"/>
        <v>3800</v>
      </c>
      <c r="U17" s="9">
        <f t="shared" si="14"/>
        <v>4310</v>
      </c>
      <c r="V17" s="9">
        <f t="shared" si="15"/>
        <v>2310</v>
      </c>
    </row>
    <row r="18" spans="1:22" x14ac:dyDescent="0.35">
      <c r="A18" s="6">
        <v>45916</v>
      </c>
      <c r="B18" s="7">
        <f>Table23453456879111215141617181920212223242526272834567891011345678910111241012151618[[#This Row],[Profit]]-Table23453456879111215141617181920212223242526272834567891011345678910111241012151618[[#This Row],[Mulbhag]]</f>
        <v>5116</v>
      </c>
      <c r="C18" s="110">
        <f>Table23453456879111215141617181920212223242526272834567891011345678910111241012151618[[#This Row],[Profit]]/3</f>
        <v>2558</v>
      </c>
      <c r="D18" s="7">
        <f t="shared" si="0"/>
        <v>7674</v>
      </c>
      <c r="E18" s="7">
        <f t="shared" si="1"/>
        <v>17906</v>
      </c>
      <c r="F18" s="7">
        <f t="shared" si="2"/>
        <v>25580</v>
      </c>
      <c r="G18" s="7">
        <v>15000</v>
      </c>
      <c r="H18" s="7">
        <v>10580</v>
      </c>
      <c r="I18" s="7">
        <f>1000+150+250+75</f>
        <v>1475</v>
      </c>
      <c r="J18" s="7">
        <f>IFERROR(VLOOKUP(Table23453456879111215141617181920212223242526272834567891011345678910111241012151618[[#This Row],[Date]],'Sept Expense'!H16:K263,4,0),0)</f>
        <v>0</v>
      </c>
      <c r="K18" s="7">
        <f>Table23453456879111215141617181920212223242526272834567891011345678910111241012151618[[#This Row],[Account Transfer]]-Table23453456879111215141617181920212223242526272834567891011345678910111241012151618[[#This Row],[Expense Online]]</f>
        <v>10580</v>
      </c>
      <c r="L18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5851</v>
      </c>
      <c r="M18" s="7">
        <f>Table23453456879111215141617181920212223242526272834567891011345678910111241012151618[[#This Row],[Cash]]-Table23453456879111215141617181920212223242526272834567891011345678910111241012151618[[#This Row],[Expense]]</f>
        <v>13525</v>
      </c>
      <c r="N18" s="45"/>
      <c r="O18" s="10">
        <f t="shared" si="11"/>
        <v>45912</v>
      </c>
      <c r="P18" s="11">
        <f t="shared" si="17"/>
        <v>5224.5</v>
      </c>
      <c r="Q18" s="11">
        <f t="shared" si="18"/>
        <v>15673.5</v>
      </c>
      <c r="R18" s="11">
        <f t="shared" si="12"/>
        <v>36571.5</v>
      </c>
      <c r="S18" s="11">
        <f t="shared" si="16"/>
        <v>52245</v>
      </c>
      <c r="T18" s="11">
        <f t="shared" si="13"/>
        <v>6675</v>
      </c>
      <c r="U18" s="11">
        <f t="shared" si="14"/>
        <v>45570</v>
      </c>
      <c r="V18" s="11">
        <f t="shared" si="15"/>
        <v>1850</v>
      </c>
    </row>
    <row r="19" spans="1:22" x14ac:dyDescent="0.35">
      <c r="A19" s="6">
        <v>45917</v>
      </c>
      <c r="B19" s="7">
        <f>Table23453456879111215141617181920212223242526272834567891011345678910111241012151618[[#This Row],[Profit]]-Table23453456879111215141617181920212223242526272834567891011345678910111241012151618[[#This Row],[Mulbhag]]</f>
        <v>3694</v>
      </c>
      <c r="C19" s="110">
        <f>Table23453456879111215141617181920212223242526272834567891011345678910111241012151618[[#This Row],[Profit]]/3</f>
        <v>1847</v>
      </c>
      <c r="D19" s="7">
        <f t="shared" si="0"/>
        <v>5541</v>
      </c>
      <c r="E19" s="7">
        <f t="shared" si="1"/>
        <v>12929</v>
      </c>
      <c r="F19" s="7">
        <f t="shared" si="2"/>
        <v>18470</v>
      </c>
      <c r="G19" s="7">
        <v>10800</v>
      </c>
      <c r="H19" s="7">
        <v>7670</v>
      </c>
      <c r="I19" s="7">
        <f>525+1500+165</f>
        <v>2190</v>
      </c>
      <c r="J19" s="7">
        <f>IFERROR(VLOOKUP(Table23453456879111215141617181920212223242526272834567891011345678910111241012151618[[#This Row],[Date]],'Sept Expense'!H17:K264,4,0),0)</f>
        <v>0</v>
      </c>
      <c r="K19" s="7">
        <f>Table23453456879111215141617181920212223242526272834567891011345678910111241012151618[[#This Row],[Account Transfer]]-Table23453456879111215141617181920212223242526272834567891011345678910111241012151618[[#This Row],[Expense Online]]</f>
        <v>7670</v>
      </c>
      <c r="L19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3069</v>
      </c>
      <c r="M19" s="7">
        <f>Table23453456879111215141617181920212223242526272834567891011345678910111241012151618[[#This Row],[Cash]]-Table23453456879111215141617181920212223242526272834567891011345678910111241012151618[[#This Row],[Expense]]</f>
        <v>8610</v>
      </c>
      <c r="N19" s="45"/>
      <c r="O19" s="8">
        <f t="shared" si="11"/>
        <v>45913</v>
      </c>
      <c r="P19" s="9">
        <f t="shared" si="17"/>
        <v>2119</v>
      </c>
      <c r="Q19" s="9">
        <f t="shared" si="18"/>
        <v>6357</v>
      </c>
      <c r="R19" s="9">
        <f t="shared" si="12"/>
        <v>14833</v>
      </c>
      <c r="S19" s="9">
        <f t="shared" si="16"/>
        <v>21190</v>
      </c>
      <c r="T19" s="9">
        <f t="shared" si="13"/>
        <v>2000</v>
      </c>
      <c r="U19" s="9">
        <f t="shared" si="14"/>
        <v>19190</v>
      </c>
      <c r="V19" s="9">
        <f t="shared" si="15"/>
        <v>1090</v>
      </c>
    </row>
    <row r="20" spans="1:22" x14ac:dyDescent="0.35">
      <c r="A20" s="6">
        <v>45918</v>
      </c>
      <c r="B20" s="7">
        <f>Table23453456879111215141617181920212223242526272834567891011345678910111241012151618[[#This Row],[Profit]]-Table23453456879111215141617181920212223242526272834567891011345678910111241012151618[[#This Row],[Mulbhag]]</f>
        <v>14832.2</v>
      </c>
      <c r="C20" s="110">
        <f>Table23453456879111215141617181920212223242526272834567891011345678910111241012151618[[#This Row],[Profit]]/3</f>
        <v>7416.0999999999995</v>
      </c>
      <c r="D20" s="7">
        <f t="shared" si="0"/>
        <v>22248.3</v>
      </c>
      <c r="E20" s="7">
        <f t="shared" si="1"/>
        <v>51912.7</v>
      </c>
      <c r="F20" s="7">
        <f t="shared" si="2"/>
        <v>74161</v>
      </c>
      <c r="G20" s="7">
        <v>18500</v>
      </c>
      <c r="H20" s="7">
        <v>55661</v>
      </c>
      <c r="I20" s="7">
        <v>6000</v>
      </c>
      <c r="J20" s="7">
        <f>IFERROR(VLOOKUP(Table23453456879111215141617181920212223242526272834567891011345678910111241012151618[[#This Row],[Date]],'Sept Expense'!H18:K265,4,0),0)</f>
        <v>0</v>
      </c>
      <c r="K20" s="7">
        <f>Table23453456879111215141617181920212223242526272834567891011345678910111241012151618[[#This Row],[Account Transfer]]-Table23453456879111215141617181920212223242526272834567891011345678910111241012151618[[#This Row],[Expense Online]]</f>
        <v>55661</v>
      </c>
      <c r="L20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-9748.2999999999993</v>
      </c>
      <c r="M20" s="7">
        <f>Table23453456879111215141617181920212223242526272834567891011345678910111241012151618[[#This Row],[Cash]]-Table23453456879111215141617181920212223242526272834567891011345678910111241012151618[[#This Row],[Expense]]</f>
        <v>12500</v>
      </c>
      <c r="N20" s="45"/>
      <c r="O20" s="10">
        <f t="shared" si="11"/>
        <v>45914</v>
      </c>
      <c r="P20" s="11">
        <f t="shared" si="17"/>
        <v>3314</v>
      </c>
      <c r="Q20" s="11">
        <f t="shared" si="18"/>
        <v>9942</v>
      </c>
      <c r="R20" s="11">
        <f t="shared" si="12"/>
        <v>23198</v>
      </c>
      <c r="S20" s="11">
        <f t="shared" si="16"/>
        <v>33140</v>
      </c>
      <c r="T20" s="11">
        <f t="shared" si="13"/>
        <v>5400</v>
      </c>
      <c r="U20" s="11">
        <f t="shared" si="14"/>
        <v>27740</v>
      </c>
      <c r="V20" s="11">
        <f t="shared" si="15"/>
        <v>1090</v>
      </c>
    </row>
    <row r="21" spans="1:22" x14ac:dyDescent="0.35">
      <c r="A21" s="6">
        <v>45919</v>
      </c>
      <c r="B21" s="7">
        <f>Table23453456879111215141617181920212223242526272834567891011345678910111241012151618[[#This Row],[Profit]]-Table23453456879111215141617181920212223242526272834567891011345678910111241012151618[[#This Row],[Mulbhag]]</f>
        <v>5609.1999999999989</v>
      </c>
      <c r="C21" s="110">
        <f>Table23453456879111215141617181920212223242526272834567891011345678910111241012151618[[#This Row],[Profit]]/3</f>
        <v>2804.6</v>
      </c>
      <c r="D21" s="7">
        <f t="shared" si="0"/>
        <v>8413.7999999999993</v>
      </c>
      <c r="E21" s="7">
        <f t="shared" si="1"/>
        <v>19632.2</v>
      </c>
      <c r="F21" s="7">
        <f t="shared" si="2"/>
        <v>28046</v>
      </c>
      <c r="G21" s="7">
        <v>17000</v>
      </c>
      <c r="H21" s="7">
        <v>11046</v>
      </c>
      <c r="I21" s="7">
        <v>6370</v>
      </c>
      <c r="J21" s="7">
        <f>IFERROR(VLOOKUP(Table23453456879111215141617181920212223242526272834567891011345678910111241012151618[[#This Row],[Date]],'Sept Expense'!H19:K266,4,0),0)</f>
        <v>0</v>
      </c>
      <c r="K21" s="7">
        <f>Table23453456879111215141617181920212223242526272834567891011345678910111241012151618[[#This Row],[Account Transfer]]-Table23453456879111215141617181920212223242526272834567891011345678910111241012151618[[#This Row],[Expense Online]]</f>
        <v>11046</v>
      </c>
      <c r="L21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2216.2000000000007</v>
      </c>
      <c r="M21" s="7">
        <f>Table23453456879111215141617181920212223242526272834567891011345678910111241012151618[[#This Row],[Cash]]-Table23453456879111215141617181920212223242526272834567891011345678910111241012151618[[#This Row],[Expense]]</f>
        <v>10630</v>
      </c>
      <c r="N21" s="45"/>
      <c r="O21" s="12" t="s">
        <v>3</v>
      </c>
      <c r="P21" s="12">
        <f>SUM(P14:P20)</f>
        <v>19763.7</v>
      </c>
      <c r="Q21" s="12">
        <f t="shared" ref="Q21:V21" si="19">SUM(Q14:Q20)</f>
        <v>59291.1</v>
      </c>
      <c r="R21" s="12">
        <f t="shared" si="19"/>
        <v>138345.9</v>
      </c>
      <c r="S21" s="12">
        <f t="shared" si="19"/>
        <v>197637</v>
      </c>
      <c r="T21" s="12">
        <f t="shared" si="19"/>
        <v>45465</v>
      </c>
      <c r="U21" s="12">
        <f t="shared" si="19"/>
        <v>152172</v>
      </c>
      <c r="V21" s="12">
        <f t="shared" si="19"/>
        <v>40760</v>
      </c>
    </row>
    <row r="22" spans="1:22" x14ac:dyDescent="0.35">
      <c r="A22" s="6">
        <v>45920</v>
      </c>
      <c r="B22" s="7">
        <f>Table23453456879111215141617181920212223242526272834567891011345678910111241012151618[[#This Row],[Profit]]-Table23453456879111215141617181920212223242526272834567891011345678910111241012151618[[#This Row],[Mulbhag]]</f>
        <v>9664</v>
      </c>
      <c r="C22" s="110">
        <f>Table23453456879111215141617181920212223242526272834567891011345678910111241012151618[[#This Row],[Profit]]/3</f>
        <v>4832</v>
      </c>
      <c r="D22" s="7">
        <f t="shared" si="0"/>
        <v>14496</v>
      </c>
      <c r="E22" s="7">
        <f t="shared" si="1"/>
        <v>33824</v>
      </c>
      <c r="F22" s="7">
        <f t="shared" si="2"/>
        <v>48320</v>
      </c>
      <c r="G22" s="7">
        <v>21500</v>
      </c>
      <c r="H22" s="7">
        <v>26820</v>
      </c>
      <c r="I22" s="7">
        <v>2835</v>
      </c>
      <c r="J22" s="7">
        <f>IFERROR(VLOOKUP(Table23453456879111215141617181920212223242526272834567891011345678910111241012151618[[#This Row],[Date]],'Sept Expense'!H20:K267,4,0),0)</f>
        <v>0</v>
      </c>
      <c r="K22" s="7">
        <f>Table23453456879111215141617181920212223242526272834567891011345678910111241012151618[[#This Row],[Account Transfer]]-Table23453456879111215141617181920212223242526272834567891011345678910111241012151618[[#This Row],[Expense Online]]</f>
        <v>26820</v>
      </c>
      <c r="L22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4169</v>
      </c>
      <c r="M22" s="7">
        <f>Table23453456879111215141617181920212223242526272834567891011345678910111241012151618[[#This Row],[Cash]]-Table23453456879111215141617181920212223242526272834567891011345678910111241012151618[[#This Row],[Expense]]</f>
        <v>18665</v>
      </c>
      <c r="N22" s="45"/>
      <c r="O22" s="12" t="s">
        <v>7</v>
      </c>
      <c r="P22" s="12"/>
      <c r="Q22" s="12">
        <f>Q21/3</f>
        <v>19763.7</v>
      </c>
      <c r="R22" s="12"/>
      <c r="S22" s="12">
        <f>R22+Q22</f>
        <v>19763.7</v>
      </c>
      <c r="T22" s="11"/>
      <c r="U22" s="11"/>
      <c r="V22" s="11"/>
    </row>
    <row r="23" spans="1:22" x14ac:dyDescent="0.35">
      <c r="A23" s="6">
        <v>45921</v>
      </c>
      <c r="B23" s="7">
        <f>Table23453456879111215141617181920212223242526272834567891011345678910111241012151618[[#This Row],[Profit]]-Table23453456879111215141617181920212223242526272834567891011345678910111241012151618[[#This Row],[Mulbhag]]</f>
        <v>6311.7999999999993</v>
      </c>
      <c r="C23" s="110">
        <f>Table23453456879111215141617181920212223242526272834567891011345678910111241012151618[[#This Row],[Profit]]/3</f>
        <v>3155.8999999999996</v>
      </c>
      <c r="D23" s="7">
        <f t="shared" si="0"/>
        <v>9467.6999999999989</v>
      </c>
      <c r="E23" s="7">
        <f t="shared" si="1"/>
        <v>22091.300000000003</v>
      </c>
      <c r="F23" s="7">
        <f t="shared" si="2"/>
        <v>31559</v>
      </c>
      <c r="G23" s="7">
        <v>4000</v>
      </c>
      <c r="H23" s="7">
        <v>27559</v>
      </c>
      <c r="I23" s="7">
        <v>16550</v>
      </c>
      <c r="J23" s="7">
        <f>IFERROR(VLOOKUP(Table23453456879111215141617181920212223242526272834567891011345678910111241012151618[[#This Row],[Date]],'Sept Expense'!H21:K268,4,0),0)</f>
        <v>0</v>
      </c>
      <c r="K23" s="7">
        <f>Table23453456879111215141617181920212223242526272834567891011345678910111241012151618[[#This Row],[Account Transfer]]-Table23453456879111215141617181920212223242526272834567891011345678910111241012151618[[#This Row],[Expense Online]]</f>
        <v>27559</v>
      </c>
      <c r="L23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-22017.699999999997</v>
      </c>
      <c r="M23" s="7">
        <f>Table23453456879111215141617181920212223242526272834567891011345678910111241012151618[[#This Row],[Cash]]-Table23453456879111215141617181920212223242526272834567891011345678910111241012151618[[#This Row],[Expense]]</f>
        <v>-12550</v>
      </c>
      <c r="N23" s="45"/>
    </row>
    <row r="24" spans="1:22" x14ac:dyDescent="0.35">
      <c r="A24" s="6">
        <v>45922</v>
      </c>
      <c r="B24" s="7">
        <f>Table23453456879111215141617181920212223242526272834567891011345678910111241012151618[[#This Row],[Profit]]-Table23453456879111215141617181920212223242526272834567891011345678910111241012151618[[#This Row],[Mulbhag]]</f>
        <v>5026.7999999999993</v>
      </c>
      <c r="C24" s="110">
        <f>Table23453456879111215141617181920212223242526272834567891011345678910111241012151618[[#This Row],[Profit]]/3</f>
        <v>2513.4</v>
      </c>
      <c r="D24" s="7">
        <f t="shared" si="0"/>
        <v>7540.2</v>
      </c>
      <c r="E24" s="7">
        <f t="shared" si="1"/>
        <v>17593.8</v>
      </c>
      <c r="F24" s="7">
        <f t="shared" si="2"/>
        <v>25134</v>
      </c>
      <c r="G24" s="7">
        <v>14000</v>
      </c>
      <c r="H24" s="7">
        <v>11134</v>
      </c>
      <c r="I24" s="7">
        <v>1290</v>
      </c>
      <c r="J24" s="7">
        <f>IFERROR(VLOOKUP(Table23453456879111215141617181920212223242526272834567891011345678910111241012151618[[#This Row],[Date]],'Sept Expense'!H22:K269,4,0),0)</f>
        <v>0</v>
      </c>
      <c r="K24" s="7">
        <f>Table23453456879111215141617181920212223242526272834567891011345678910111241012151618[[#This Row],[Account Transfer]]-Table23453456879111215141617181920212223242526272834567891011345678910111241012151618[[#This Row],[Expense Online]]</f>
        <v>11134</v>
      </c>
      <c r="L24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5169.8000000000011</v>
      </c>
      <c r="M24" s="7">
        <f>Table23453456879111215141617181920212223242526272834567891011345678910111241012151618[[#This Row],[Cash]]-Table23453456879111215141617181920212223242526272834567891011345678910111241012151618[[#This Row],[Expense]]</f>
        <v>12710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45923</v>
      </c>
      <c r="B25" s="7">
        <f>Table23453456879111215141617181920212223242526272834567891011345678910111241012151618[[#This Row],[Profit]]-Table23453456879111215141617181920212223242526272834567891011345678910111241012151618[[#This Row],[Mulbhag]]</f>
        <v>3987.2</v>
      </c>
      <c r="C25" s="110">
        <f>Table23453456879111215141617181920212223242526272834567891011345678910111241012151618[[#This Row],[Profit]]/3</f>
        <v>1993.6000000000001</v>
      </c>
      <c r="D25" s="7">
        <f t="shared" si="0"/>
        <v>5980.8</v>
      </c>
      <c r="E25" s="7">
        <f t="shared" si="1"/>
        <v>13955.2</v>
      </c>
      <c r="F25" s="7">
        <f t="shared" si="2"/>
        <v>19936</v>
      </c>
      <c r="G25" s="7">
        <v>9600</v>
      </c>
      <c r="H25" s="7">
        <v>10336</v>
      </c>
      <c r="I25" s="7">
        <v>2275</v>
      </c>
      <c r="J25" s="7">
        <f>IFERROR(VLOOKUP(Table23453456879111215141617181920212223242526272834567891011345678910111241012151618[[#This Row],[Date]],'Sept Expense'!H23:K270,4,0),0)</f>
        <v>0</v>
      </c>
      <c r="K25" s="7">
        <f>Table23453456879111215141617181920212223242526272834567891011345678910111241012151618[[#This Row],[Account Transfer]]-Table23453456879111215141617181920212223242526272834567891011345678910111241012151618[[#This Row],[Expense Online]]</f>
        <v>10336</v>
      </c>
      <c r="L25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1344.1999999999998</v>
      </c>
      <c r="M25" s="7">
        <f>Table23453456879111215141617181920212223242526272834567891011345678910111241012151618[[#This Row],[Cash]]-Table23453456879111215141617181920212223242526272834567891011345678910111241012151618[[#This Row],[Expense]]</f>
        <v>7325</v>
      </c>
      <c r="N25" s="45"/>
      <c r="O25" s="10">
        <f t="shared" ref="O25:O31" si="20">A17</f>
        <v>45915</v>
      </c>
      <c r="P25" s="11">
        <f>Q25/3</f>
        <v>2214</v>
      </c>
      <c r="Q25" s="11">
        <f>S25*0.3</f>
        <v>6642</v>
      </c>
      <c r="R25" s="11">
        <f t="shared" ref="R25:R31" si="21">S25-Q25</f>
        <v>15498</v>
      </c>
      <c r="S25" s="11">
        <f>T25+U25</f>
        <v>22140</v>
      </c>
      <c r="T25" s="11">
        <f t="shared" ref="T25:T31" si="22">VLOOKUP(O25,$A$1:$J$34,7,0)</f>
        <v>4950</v>
      </c>
      <c r="U25" s="11">
        <f t="shared" ref="U25:U31" si="23">VLOOKUP(O25,$A$1:$J$34,8,0)</f>
        <v>17190</v>
      </c>
      <c r="V25" s="11">
        <f t="shared" ref="V25:V31" si="24">VLOOKUP(O25,$A$1:$J$34,9,0)</f>
        <v>2250</v>
      </c>
    </row>
    <row r="26" spans="1:22" x14ac:dyDescent="0.35">
      <c r="A26" s="6">
        <v>45924</v>
      </c>
      <c r="B26" s="7">
        <f>Table23453456879111215141617181920212223242526272834567891011345678910111241012151618[[#This Row],[Profit]]-Table23453456879111215141617181920212223242526272834567891011345678910111241012151618[[#This Row],[Mulbhag]]</f>
        <v>14958</v>
      </c>
      <c r="C26" s="43">
        <f>Table23453456879111215141617181920212223242526272834567891011345678910111241012151618[[#This Row],[Profit]]/3</f>
        <v>7479</v>
      </c>
      <c r="D26" s="7">
        <f t="shared" si="0"/>
        <v>22437</v>
      </c>
      <c r="E26" s="7">
        <f t="shared" si="1"/>
        <v>52353</v>
      </c>
      <c r="F26" s="7">
        <f t="shared" si="2"/>
        <v>74790</v>
      </c>
      <c r="G26" s="7">
        <v>32430</v>
      </c>
      <c r="H26" s="7">
        <v>42360</v>
      </c>
      <c r="I26" s="7">
        <v>3140</v>
      </c>
      <c r="J26" s="7">
        <f>IFERROR(VLOOKUP(Table23453456879111215141617181920212223242526272834567891011345678910111241012151618[[#This Row],[Date]],'Sept Expense'!H24:K271,4,0),0)</f>
        <v>0</v>
      </c>
      <c r="K26" s="7">
        <f>Table23453456879111215141617181920212223242526272834567891011345678910111241012151618[[#This Row],[Account Transfer]]-Table23453456879111215141617181920212223242526272834567891011345678910111241012151618[[#This Row],[Expense Online]]</f>
        <v>42360</v>
      </c>
      <c r="L26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6853</v>
      </c>
      <c r="M26" s="7">
        <f>Table23453456879111215141617181920212223242526272834567891011345678910111241012151618[[#This Row],[Cash]]-Table23453456879111215141617181920212223242526272834567891011345678910111241012151618[[#This Row],[Expense]]</f>
        <v>29290</v>
      </c>
      <c r="N26" s="45"/>
      <c r="O26" s="8">
        <f t="shared" si="20"/>
        <v>45916</v>
      </c>
      <c r="P26" s="9">
        <f>Q26/3</f>
        <v>2558</v>
      </c>
      <c r="Q26" s="9">
        <f>S26*0.3</f>
        <v>7674</v>
      </c>
      <c r="R26" s="9">
        <f t="shared" si="21"/>
        <v>17906</v>
      </c>
      <c r="S26" s="9">
        <f t="shared" ref="S26:S31" si="25">T26+U26</f>
        <v>25580</v>
      </c>
      <c r="T26" s="9">
        <f t="shared" si="22"/>
        <v>15000</v>
      </c>
      <c r="U26" s="9">
        <f t="shared" si="23"/>
        <v>10580</v>
      </c>
      <c r="V26" s="9">
        <f t="shared" si="24"/>
        <v>1475</v>
      </c>
    </row>
    <row r="27" spans="1:22" x14ac:dyDescent="0.35">
      <c r="A27" s="6">
        <v>45925</v>
      </c>
      <c r="B27" s="7">
        <f>Table23453456879111215141617181920212223242526272834567891011345678910111241012151618[[#This Row],[Profit]]-Table23453456879111215141617181920212223242526272834567891011345678910111241012151618[[#This Row],[Mulbhag]]</f>
        <v>4315.7999999999993</v>
      </c>
      <c r="C27" s="43">
        <f>Table23453456879111215141617181920212223242526272834567891011345678910111241012151618[[#This Row],[Profit]]/3</f>
        <v>2157.9</v>
      </c>
      <c r="D27" s="7">
        <f t="shared" si="0"/>
        <v>6473.7</v>
      </c>
      <c r="E27" s="7">
        <f t="shared" si="1"/>
        <v>15105.3</v>
      </c>
      <c r="F27" s="7">
        <f t="shared" si="2"/>
        <v>21579</v>
      </c>
      <c r="G27" s="7">
        <v>6560</v>
      </c>
      <c r="H27" s="7">
        <v>15019</v>
      </c>
      <c r="I27" s="7">
        <v>2275</v>
      </c>
      <c r="J27" s="7">
        <f>IFERROR(VLOOKUP(Table23453456879111215141617181920212223242526272834567891011345678910111241012151618[[#This Row],[Date]],'Sept Expense'!H25:K272,4,0),0)</f>
        <v>0</v>
      </c>
      <c r="K27" s="7">
        <f>Table23453456879111215141617181920212223242526272834567891011345678910111241012151618[[#This Row],[Account Transfer]]-Table23453456879111215141617181920212223242526272834567891011345678910111241012151618[[#This Row],[Expense Online]]</f>
        <v>15019</v>
      </c>
      <c r="L27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-2188.6999999999989</v>
      </c>
      <c r="M27" s="7">
        <f>Table23453456879111215141617181920212223242526272834567891011345678910111241012151618[[#This Row],[Cash]]-Table23453456879111215141617181920212223242526272834567891011345678910111241012151618[[#This Row],[Expense]]</f>
        <v>4285</v>
      </c>
      <c r="N27" s="45"/>
      <c r="O27" s="10">
        <f t="shared" si="20"/>
        <v>45917</v>
      </c>
      <c r="P27" s="11">
        <f t="shared" ref="P27:P31" si="26">Q27/3</f>
        <v>1847</v>
      </c>
      <c r="Q27" s="11">
        <f t="shared" ref="Q27:Q31" si="27">S27*0.3</f>
        <v>5541</v>
      </c>
      <c r="R27" s="11">
        <f t="shared" si="21"/>
        <v>12929</v>
      </c>
      <c r="S27" s="11">
        <f t="shared" si="25"/>
        <v>18470</v>
      </c>
      <c r="T27" s="11">
        <f t="shared" si="22"/>
        <v>10800</v>
      </c>
      <c r="U27" s="11">
        <f t="shared" si="23"/>
        <v>7670</v>
      </c>
      <c r="V27" s="11">
        <f t="shared" si="24"/>
        <v>2190</v>
      </c>
    </row>
    <row r="28" spans="1:22" x14ac:dyDescent="0.35">
      <c r="A28" s="6">
        <v>45926</v>
      </c>
      <c r="B28" s="7">
        <f>Table23453456879111215141617181920212223242526272834567891011345678910111241012151618[[#This Row],[Profit]]-Table23453456879111215141617181920212223242526272834567891011345678910111241012151618[[#This Row],[Mulbhag]]</f>
        <v>7480</v>
      </c>
      <c r="C28" s="43">
        <f>Table23453456879111215141617181920212223242526272834567891011345678910111241012151618[[#This Row],[Profit]]/3</f>
        <v>3740</v>
      </c>
      <c r="D28" s="7">
        <f t="shared" si="0"/>
        <v>11220</v>
      </c>
      <c r="E28" s="7">
        <f t="shared" si="1"/>
        <v>26180</v>
      </c>
      <c r="F28" s="7">
        <f t="shared" si="2"/>
        <v>37400</v>
      </c>
      <c r="G28" s="7">
        <v>31210</v>
      </c>
      <c r="H28" s="7">
        <v>6190</v>
      </c>
      <c r="I28" s="7">
        <v>5700</v>
      </c>
      <c r="J28" s="7">
        <f>IFERROR(VLOOKUP(Table23453456879111215141617181920212223242526272834567891011345678910111241012151618[[#This Row],[Date]],'Sept Expense'!H26:K273,4,0),0)</f>
        <v>0</v>
      </c>
      <c r="K28" s="7">
        <f>Table23453456879111215141617181920212223242526272834567891011345678910111241012151618[[#This Row],[Account Transfer]]-Table23453456879111215141617181920212223242526272834567891011345678910111241012151618[[#This Row],[Expense Online]]</f>
        <v>6190</v>
      </c>
      <c r="L28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14290</v>
      </c>
      <c r="M28" s="7">
        <f>Table23453456879111215141617181920212223242526272834567891011345678910111241012151618[[#This Row],[Cash]]-Table23453456879111215141617181920212223242526272834567891011345678910111241012151618[[#This Row],[Expense]]</f>
        <v>25510</v>
      </c>
      <c r="N28" s="45"/>
      <c r="O28" s="8">
        <f t="shared" si="20"/>
        <v>45918</v>
      </c>
      <c r="P28" s="9">
        <f t="shared" si="26"/>
        <v>7416.0999999999995</v>
      </c>
      <c r="Q28" s="9">
        <f t="shared" si="27"/>
        <v>22248.3</v>
      </c>
      <c r="R28" s="9">
        <f t="shared" si="21"/>
        <v>51912.7</v>
      </c>
      <c r="S28" s="9">
        <f t="shared" si="25"/>
        <v>74161</v>
      </c>
      <c r="T28" s="9">
        <f t="shared" si="22"/>
        <v>18500</v>
      </c>
      <c r="U28" s="9">
        <f t="shared" si="23"/>
        <v>55661</v>
      </c>
      <c r="V28" s="9">
        <f t="shared" si="24"/>
        <v>6000</v>
      </c>
    </row>
    <row r="29" spans="1:22" x14ac:dyDescent="0.35">
      <c r="A29" s="6">
        <v>45927</v>
      </c>
      <c r="B29" s="7">
        <f>Table23453456879111215141617181920212223242526272834567891011345678910111241012151618[[#This Row],[Profit]]-Table23453456879111215141617181920212223242526272834567891011345678910111241012151618[[#This Row],[Mulbhag]]</f>
        <v>11231.2</v>
      </c>
      <c r="C29" s="43">
        <f>Table23453456879111215141617181920212223242526272834567891011345678910111241012151618[[#This Row],[Profit]]/3</f>
        <v>5615.5999999999995</v>
      </c>
      <c r="D29" s="7">
        <f t="shared" si="0"/>
        <v>16846.8</v>
      </c>
      <c r="E29" s="7">
        <f t="shared" si="1"/>
        <v>39309.199999999997</v>
      </c>
      <c r="F29" s="7">
        <f t="shared" si="2"/>
        <v>56156</v>
      </c>
      <c r="G29" s="7">
        <v>9800</v>
      </c>
      <c r="H29" s="7">
        <v>46356</v>
      </c>
      <c r="I29" s="7">
        <v>120</v>
      </c>
      <c r="J29" s="7">
        <f>IFERROR(VLOOKUP(Table23453456879111215141617181920212223242526272834567891011345678910111241012151618[[#This Row],[Date]],'Sept Expense'!H27:K274,4,0),0)</f>
        <v>0</v>
      </c>
      <c r="K29" s="7">
        <f>Table23453456879111215141617181920212223242526272834567891011345678910111241012151618[[#This Row],[Account Transfer]]-Table23453456879111215141617181920212223242526272834567891011345678910111241012151618[[#This Row],[Expense Online]]</f>
        <v>46356</v>
      </c>
      <c r="L29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-7166.8</v>
      </c>
      <c r="M29" s="7">
        <f>Table23453456879111215141617181920212223242526272834567891011345678910111241012151618[[#This Row],[Cash]]-Table23453456879111215141617181920212223242526272834567891011345678910111241012151618[[#This Row],[Expense]]</f>
        <v>9680</v>
      </c>
      <c r="N29" s="45"/>
      <c r="O29" s="10">
        <f t="shared" si="20"/>
        <v>45919</v>
      </c>
      <c r="P29" s="11">
        <f t="shared" si="26"/>
        <v>2804.6</v>
      </c>
      <c r="Q29" s="11">
        <f t="shared" si="27"/>
        <v>8413.7999999999993</v>
      </c>
      <c r="R29" s="11">
        <f t="shared" si="21"/>
        <v>19632.2</v>
      </c>
      <c r="S29" s="11">
        <f t="shared" si="25"/>
        <v>28046</v>
      </c>
      <c r="T29" s="11">
        <f t="shared" si="22"/>
        <v>17000</v>
      </c>
      <c r="U29" s="11">
        <f t="shared" si="23"/>
        <v>11046</v>
      </c>
      <c r="V29" s="11">
        <f t="shared" si="24"/>
        <v>6370</v>
      </c>
    </row>
    <row r="30" spans="1:22" x14ac:dyDescent="0.35">
      <c r="A30" s="6">
        <v>45928</v>
      </c>
      <c r="B30" s="7">
        <f>Table23453456879111215141617181920212223242526272834567891011345678910111241012151618[[#This Row],[Profit]]-Table23453456879111215141617181920212223242526272834567891011345678910111241012151618[[#This Row],[Mulbhag]]</f>
        <v>4711</v>
      </c>
      <c r="C30" s="43">
        <f>Table23453456879111215141617181920212223242526272834567891011345678910111241012151618[[#This Row],[Profit]]/3</f>
        <v>2355.5</v>
      </c>
      <c r="D30" s="7">
        <f t="shared" si="0"/>
        <v>7066.5</v>
      </c>
      <c r="E30" s="7">
        <f t="shared" si="1"/>
        <v>16488.5</v>
      </c>
      <c r="F30" s="7">
        <f t="shared" si="2"/>
        <v>23555</v>
      </c>
      <c r="G30" s="7">
        <v>11250</v>
      </c>
      <c r="H30" s="7">
        <f>4905+3800+3600</f>
        <v>12305</v>
      </c>
      <c r="I30" s="7">
        <v>235</v>
      </c>
      <c r="J30" s="7">
        <f>IFERROR(VLOOKUP(Table23453456879111215141617181920212223242526272834567891011345678910111241012151618[[#This Row],[Date]],'Sept Expense'!H28:K275,4,0),0)</f>
        <v>0</v>
      </c>
      <c r="K30" s="7">
        <f>Table23453456879111215141617181920212223242526272834567891011345678910111241012151618[[#This Row],[Account Transfer]]-Table23453456879111215141617181920212223242526272834567891011345678910111241012151618[[#This Row],[Expense Online]]</f>
        <v>12305</v>
      </c>
      <c r="L30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3948.5</v>
      </c>
      <c r="M30" s="7">
        <f>Table23453456879111215141617181920212223242526272834567891011345678910111241012151618[[#This Row],[Cash]]-Table23453456879111215141617181920212223242526272834567891011345678910111241012151618[[#This Row],[Expense]]</f>
        <v>11015</v>
      </c>
      <c r="N30" s="45"/>
      <c r="O30" s="8">
        <f t="shared" si="20"/>
        <v>45920</v>
      </c>
      <c r="P30" s="9">
        <f t="shared" si="26"/>
        <v>4832</v>
      </c>
      <c r="Q30" s="9">
        <f t="shared" si="27"/>
        <v>14496</v>
      </c>
      <c r="R30" s="9">
        <f t="shared" si="21"/>
        <v>33824</v>
      </c>
      <c r="S30" s="9">
        <f t="shared" si="25"/>
        <v>48320</v>
      </c>
      <c r="T30" s="9">
        <f t="shared" si="22"/>
        <v>21500</v>
      </c>
      <c r="U30" s="9">
        <f t="shared" si="23"/>
        <v>26820</v>
      </c>
      <c r="V30" s="9">
        <f t="shared" si="24"/>
        <v>2835</v>
      </c>
    </row>
    <row r="31" spans="1:22" x14ac:dyDescent="0.35">
      <c r="A31" s="6">
        <v>45929</v>
      </c>
      <c r="B31" s="7">
        <f>Table23453456879111215141617181920212223242526272834567891011345678910111241012151618[[#This Row],[Profit]]-Table23453456879111215141617181920212223242526272834567891011345678910111241012151618[[#This Row],[Mulbhag]]</f>
        <v>3400</v>
      </c>
      <c r="C31" s="43">
        <f>Table23453456879111215141617181920212223242526272834567891011345678910111241012151618[[#This Row],[Profit]]/3</f>
        <v>1700</v>
      </c>
      <c r="D31" s="7">
        <f t="shared" si="0"/>
        <v>5100</v>
      </c>
      <c r="E31" s="7">
        <f t="shared" si="1"/>
        <v>11900</v>
      </c>
      <c r="F31" s="7">
        <f t="shared" si="2"/>
        <v>17000</v>
      </c>
      <c r="G31" s="7">
        <v>3200</v>
      </c>
      <c r="H31" s="7">
        <v>13800</v>
      </c>
      <c r="I31" s="7">
        <v>3000</v>
      </c>
      <c r="J31" s="7">
        <f>IFERROR(VLOOKUP(Table23453456879111215141617181920212223242526272834567891011345678910111241012151618[[#This Row],[Date]],'Sept Expense'!H29:K276,4,0),0)</f>
        <v>0</v>
      </c>
      <c r="K31" s="7">
        <f>Table23453456879111215141617181920212223242526272834567891011345678910111241012151618[[#This Row],[Account Transfer]]-Table23453456879111215141617181920212223242526272834567891011345678910111241012151618[[#This Row],[Expense Online]]</f>
        <v>13800</v>
      </c>
      <c r="L31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-4900</v>
      </c>
      <c r="M31" s="7">
        <f>Table23453456879111215141617181920212223242526272834567891011345678910111241012151618[[#This Row],[Cash]]-Table23453456879111215141617181920212223242526272834567891011345678910111241012151618[[#This Row],[Expense]]</f>
        <v>200</v>
      </c>
      <c r="N31" s="45"/>
      <c r="O31" s="10">
        <f t="shared" si="20"/>
        <v>45921</v>
      </c>
      <c r="P31" s="11">
        <f t="shared" si="26"/>
        <v>3155.8999999999996</v>
      </c>
      <c r="Q31" s="11">
        <f t="shared" si="27"/>
        <v>9467.6999999999989</v>
      </c>
      <c r="R31" s="11">
        <f t="shared" si="21"/>
        <v>22091.300000000003</v>
      </c>
      <c r="S31" s="11">
        <f t="shared" si="25"/>
        <v>31559</v>
      </c>
      <c r="T31" s="11">
        <f t="shared" si="22"/>
        <v>4000</v>
      </c>
      <c r="U31" s="11">
        <f t="shared" si="23"/>
        <v>27559</v>
      </c>
      <c r="V31" s="11">
        <f t="shared" si="24"/>
        <v>16550</v>
      </c>
    </row>
    <row r="32" spans="1:22" x14ac:dyDescent="0.35">
      <c r="A32" s="6">
        <v>45930</v>
      </c>
      <c r="B32" s="7">
        <f>Table23453456879111215141617181920212223242526272834567891011345678910111241012151618[[#This Row],[Profit]]-Table23453456879111215141617181920212223242526272834567891011345678910111241012151618[[#This Row],[Mulbhag]]</f>
        <v>20123.199999999997</v>
      </c>
      <c r="C32" s="43">
        <f>Table23453456879111215141617181920212223242526272834567891011345678910111241012151618[[#This Row],[Profit]]/3</f>
        <v>10061.6</v>
      </c>
      <c r="D32" s="7">
        <f t="shared" si="0"/>
        <v>30184.799999999999</v>
      </c>
      <c r="E32" s="7">
        <f t="shared" si="1"/>
        <v>70431.199999999997</v>
      </c>
      <c r="F32" s="7">
        <f t="shared" si="2"/>
        <v>100616</v>
      </c>
      <c r="G32" s="7">
        <v>21325</v>
      </c>
      <c r="H32" s="7">
        <v>79291</v>
      </c>
      <c r="I32" s="7">
        <v>500</v>
      </c>
      <c r="J32" s="7">
        <f>IFERROR(VLOOKUP(Table23453456879111215141617181920212223242526272834567891011345678910111241012151618[[#This Row],[Date]],'Sept Expense'!H30:K277,4,0),0)</f>
        <v>0</v>
      </c>
      <c r="K32" s="7">
        <f>Table23453456879111215141617181920212223242526272834567891011345678910111241012151618[[#This Row],[Account Transfer]]-Table23453456879111215141617181920212223242526272834567891011345678910111241012151618[[#This Row],[Expense Online]]</f>
        <v>79291</v>
      </c>
      <c r="L32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-9359.7999999999975</v>
      </c>
      <c r="M32" s="7">
        <f>Table23453456879111215141617181920212223242526272834567891011345678910111241012151618[[#This Row],[Cash]]-Table23453456879111215141617181920212223242526272834567891011345678910111241012151618[[#This Row],[Expense]]</f>
        <v>20825</v>
      </c>
      <c r="N32" s="45"/>
      <c r="O32" s="12" t="s">
        <v>3</v>
      </c>
      <c r="P32" s="12">
        <f>SUM(P25:P31)</f>
        <v>24827.599999999999</v>
      </c>
      <c r="Q32" s="11">
        <f t="shared" ref="Q32:V32" si="28">SUM(Q25:Q31)</f>
        <v>74482.8</v>
      </c>
      <c r="R32" s="11">
        <f t="shared" si="28"/>
        <v>173793.2</v>
      </c>
      <c r="S32" s="11">
        <f t="shared" si="28"/>
        <v>248276</v>
      </c>
      <c r="T32" s="11">
        <f t="shared" si="28"/>
        <v>91750</v>
      </c>
      <c r="U32" s="11">
        <f t="shared" si="28"/>
        <v>156526</v>
      </c>
      <c r="V32" s="11">
        <f t="shared" si="28"/>
        <v>37670</v>
      </c>
    </row>
    <row r="33" spans="1:22" x14ac:dyDescent="0.35">
      <c r="A33" s="6">
        <v>45931</v>
      </c>
      <c r="B33" s="7">
        <f>Table23453456879111215141617181920212223242526272834567891011345678910111241012151618[[#This Row],[Profit]]-Table23453456879111215141617181920212223242526272834567891011345678910111241012151618[[#This Row],[Mulbhag]]</f>
        <v>0</v>
      </c>
      <c r="C33" s="43">
        <f>Table23453456879111215141617181920212223242526272834567891011345678910111241012151618[[#This Row],[Profit]]/3</f>
        <v>0</v>
      </c>
      <c r="D33" s="7">
        <f t="shared" si="0"/>
        <v>0</v>
      </c>
      <c r="E33" s="7">
        <f t="shared" si="1"/>
        <v>0</v>
      </c>
      <c r="F33" s="7">
        <f t="shared" si="2"/>
        <v>0</v>
      </c>
      <c r="G33" s="7"/>
      <c r="H33" s="7"/>
      <c r="I33" s="7">
        <f>IFERROR(VLOOKUP(Table23453456879111215141617181920212223242526272834567891011345678910111241012151618[[#This Row],[Date]],'Sept Expense'!H31:K278,3,0),0)</f>
        <v>0</v>
      </c>
      <c r="J33" s="7">
        <f>IFERROR(VLOOKUP(Table23453456879111215141617181920212223242526272834567891011345678910111241012151618[[#This Row],[Date]],'Sept Expense'!H31:K278,4,0),0)</f>
        <v>0</v>
      </c>
      <c r="K33" s="7">
        <f>Table23453456879111215141617181920212223242526272834567891011345678910111241012151618[[#This Row],[Account Transfer]]-Table23453456879111215141617181920212223242526272834567891011345678910111241012151618[[#This Row],[Expense Online]]</f>
        <v>0</v>
      </c>
      <c r="L33" s="7">
        <f>Table23453456879111215141617181920212223242526272834567891011345678910111241012151618[[#This Row],[Cash]]-Table23453456879111215141617181920212223242526272834567891011345678910111241012151618[[#This Row],[Mulbhag]]-Table23453456879111215141617181920212223242526272834567891011345678910111241012151618[[#This Row],[Actual Profit]]-Table23453456879111215141617181920212223242526272834567891011345678910111241012151618[[#This Row],[Expense]]</f>
        <v>0</v>
      </c>
      <c r="M33" s="7">
        <f>Table23453456879111215141617181920212223242526272834567891011345678910111241012151618[[#This Row],[Cash]]-Table23453456879111215141617181920212223242526272834567891011345678910111241012151618[[#This Row],[Expense]]</f>
        <v>0</v>
      </c>
      <c r="N33" s="47"/>
      <c r="O33" s="12" t="s">
        <v>7</v>
      </c>
      <c r="P33" s="9"/>
      <c r="Q33" s="9">
        <f>Q32/3</f>
        <v>24827.600000000002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SUBTOTAL(109,Table23453456879111215141617181920212223242526272834567891011345678910111241012151618[Actual Profit])</f>
        <v>191358.59999999998</v>
      </c>
      <c r="C34" s="16">
        <f>SUBTOTAL(109,Table23453456879111215141617181920212223242526272834567891011345678910111241012151618[Mulbhag])</f>
        <v>95679.3</v>
      </c>
      <c r="D34" s="16">
        <f>SUBTOTAL(109,Table23453456879111215141617181920212223242526272834567891011345678910111241012151618[Profit])</f>
        <v>287037.90000000002</v>
      </c>
      <c r="E34" s="16">
        <f>SUBTOTAL(109,Table23453456879111215141617181920212223242526272834567891011345678910111241012151618[Profit])</f>
        <v>287037.90000000002</v>
      </c>
      <c r="F34" s="16">
        <f>SUM(F3:F33)</f>
        <v>956793</v>
      </c>
      <c r="G34" s="16">
        <f>SUBTOTAL(109,Table23453456879111215141617181920212223242526272834567891011345678910111241012151618[Profit])</f>
        <v>287037.90000000002</v>
      </c>
      <c r="H34" s="16">
        <f>SUBTOTAL(109,Table23453456879111215141617181920212223242526272834567891011345678910111241012151618[Profit])</f>
        <v>287037.90000000002</v>
      </c>
      <c r="I34" s="16">
        <f>SUM(I5:I33)</f>
        <v>105335</v>
      </c>
      <c r="J34" s="16">
        <f>SUBTOTAL(109,Table23453456879111215141617181920212223242526272834567891011345678910111241012151618[Expense Online])</f>
        <v>0</v>
      </c>
      <c r="K34" s="16">
        <f>SUBTOTAL(109,Table23453456879111215141617181920212223242526272834567891011345678910111241012151618[x])</f>
        <v>635457</v>
      </c>
      <c r="L34" s="16">
        <f>SUM(L5:L33)</f>
        <v>-66613.8</v>
      </c>
      <c r="M34" s="16">
        <f>SUBTOTAL(109,Table23453456879111215141617181920212223242526272834567891011345678910111241012151618[Actual Balance])</f>
        <v>204991</v>
      </c>
    </row>
    <row r="35" spans="1:22" x14ac:dyDescent="0.35">
      <c r="A35" s="17"/>
      <c r="B35" s="18"/>
      <c r="C35" s="18"/>
      <c r="D35" s="18">
        <f>D34/3</f>
        <v>95679.3</v>
      </c>
      <c r="E35" s="18"/>
      <c r="F35" s="18"/>
      <c r="G35" s="18">
        <f>F34*0.42</f>
        <v>401853.06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</v>
      </c>
      <c r="E36" s="18"/>
      <c r="F36" s="18"/>
      <c r="G36" s="18">
        <f>G35/3</f>
        <v>133951.01999999999</v>
      </c>
      <c r="H36" s="18"/>
      <c r="I36" s="18"/>
      <c r="J36" s="18"/>
      <c r="K36" s="18"/>
      <c r="L36" s="18"/>
      <c r="M36" s="18"/>
      <c r="O36" s="8">
        <f t="shared" ref="O36:O40" si="29">A24</f>
        <v>45922</v>
      </c>
      <c r="P36" s="11">
        <f>Q36/3</f>
        <v>2513.4</v>
      </c>
      <c r="Q36" s="11">
        <f>S36*0.3</f>
        <v>7540.2</v>
      </c>
      <c r="R36" s="11">
        <f t="shared" ref="R36:R41" si="30">S36-Q36</f>
        <v>17593.8</v>
      </c>
      <c r="S36" s="11">
        <f>T36+U36</f>
        <v>25134</v>
      </c>
      <c r="T36" s="11">
        <f t="shared" ref="T36:T41" si="31">VLOOKUP(O36,$A$1:$J$34,7,0)</f>
        <v>14000</v>
      </c>
      <c r="U36" s="11">
        <f t="shared" ref="U36:U41" si="32">VLOOKUP(O36,$A$1:$J$34,8,0)</f>
        <v>11134</v>
      </c>
      <c r="V36" s="11">
        <f t="shared" ref="V36:V41" si="33">VLOOKUP(O36,$A$1:$J$34,9,0)</f>
        <v>1290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45923</v>
      </c>
      <c r="P37" s="9">
        <f>Q37/3</f>
        <v>1993.6000000000001</v>
      </c>
      <c r="Q37" s="9">
        <f>S37*0.3</f>
        <v>5980.8</v>
      </c>
      <c r="R37" s="9">
        <f t="shared" si="30"/>
        <v>13955.2</v>
      </c>
      <c r="S37" s="9">
        <f t="shared" ref="S37:S41" si="34">T37+U37</f>
        <v>19936</v>
      </c>
      <c r="T37" s="9">
        <f t="shared" si="31"/>
        <v>9600</v>
      </c>
      <c r="U37" s="9">
        <f t="shared" si="32"/>
        <v>10336</v>
      </c>
      <c r="V37" s="9">
        <f t="shared" si="33"/>
        <v>2275</v>
      </c>
    </row>
    <row r="38" spans="1:22" x14ac:dyDescent="0.35">
      <c r="A38" s="20" t="str">
        <f>CONCATENATE(TEXT(O3,"DD-MMM-YYY")," to ",TEXT(O9,"DD-MMM-YYYY"))</f>
        <v>01-Sep-2025 to 07-Sep-2025</v>
      </c>
      <c r="B38" s="11">
        <f>D38-C38</f>
        <v>26942.799999999996</v>
      </c>
      <c r="C38" s="11">
        <f>D38/3</f>
        <v>13471.4</v>
      </c>
      <c r="D38" s="11">
        <f>Q10</f>
        <v>40414.199999999997</v>
      </c>
      <c r="E38" s="11">
        <f t="shared" ref="E38:I38" si="35">R10</f>
        <v>94299.8</v>
      </c>
      <c r="F38" s="11">
        <f t="shared" si="35"/>
        <v>134714</v>
      </c>
      <c r="G38" s="11">
        <f t="shared" si="35"/>
        <v>44746</v>
      </c>
      <c r="H38" s="11">
        <f t="shared" si="35"/>
        <v>89968</v>
      </c>
      <c r="I38" s="11">
        <f t="shared" si="35"/>
        <v>19380</v>
      </c>
      <c r="J38" s="11"/>
      <c r="K38" s="11"/>
      <c r="L38" s="11"/>
      <c r="M38" s="11"/>
      <c r="O38" s="10">
        <f t="shared" si="29"/>
        <v>45924</v>
      </c>
      <c r="P38" s="11">
        <f t="shared" ref="P38:P41" si="36">Q38/3</f>
        <v>7479</v>
      </c>
      <c r="Q38" s="11">
        <f t="shared" ref="Q38:Q41" si="37">S38*0.3</f>
        <v>22437</v>
      </c>
      <c r="R38" s="11">
        <f t="shared" si="30"/>
        <v>52353</v>
      </c>
      <c r="S38" s="11">
        <f t="shared" si="34"/>
        <v>74790</v>
      </c>
      <c r="T38" s="11">
        <f t="shared" si="31"/>
        <v>32430</v>
      </c>
      <c r="U38" s="11">
        <f t="shared" si="32"/>
        <v>42360</v>
      </c>
      <c r="V38" s="11">
        <f t="shared" si="33"/>
        <v>3140</v>
      </c>
    </row>
    <row r="39" spans="1:22" x14ac:dyDescent="0.35">
      <c r="A39" s="20" t="str">
        <f>CONCATENATE(TEXT(O14,"DD-MMM-YYY")," to ",TEXT(O20,"DD-MMM-YYYY"))</f>
        <v>08-Sep-2025 to 14-Sep-2025</v>
      </c>
      <c r="B39" s="9">
        <f t="shared" ref="B39:B42" si="38">D39-C39</f>
        <v>39527.399999999994</v>
      </c>
      <c r="C39" s="9">
        <f t="shared" ref="C39:C42" si="39">D39/3</f>
        <v>19763.7</v>
      </c>
      <c r="D39" s="9">
        <f>Q21</f>
        <v>59291.1</v>
      </c>
      <c r="E39" s="9">
        <f t="shared" ref="E39:I39" si="40">R21</f>
        <v>138345.9</v>
      </c>
      <c r="F39" s="9">
        <f t="shared" si="40"/>
        <v>197637</v>
      </c>
      <c r="G39" s="9">
        <f t="shared" si="40"/>
        <v>45465</v>
      </c>
      <c r="H39" s="9">
        <f t="shared" si="40"/>
        <v>152172</v>
      </c>
      <c r="I39" s="9">
        <f t="shared" si="40"/>
        <v>40760</v>
      </c>
      <c r="J39" s="9"/>
      <c r="K39" s="9"/>
      <c r="L39" s="9"/>
      <c r="M39" s="9"/>
      <c r="O39" s="8">
        <f t="shared" si="29"/>
        <v>45925</v>
      </c>
      <c r="P39" s="9">
        <f t="shared" si="36"/>
        <v>2157.9</v>
      </c>
      <c r="Q39" s="9">
        <f t="shared" si="37"/>
        <v>6473.7</v>
      </c>
      <c r="R39" s="9">
        <f t="shared" si="30"/>
        <v>15105.3</v>
      </c>
      <c r="S39" s="9">
        <f t="shared" si="34"/>
        <v>21579</v>
      </c>
      <c r="T39" s="9">
        <f t="shared" si="31"/>
        <v>6560</v>
      </c>
      <c r="U39" s="9">
        <f t="shared" si="32"/>
        <v>15019</v>
      </c>
      <c r="V39" s="9">
        <f t="shared" si="33"/>
        <v>2275</v>
      </c>
    </row>
    <row r="40" spans="1:22" x14ac:dyDescent="0.35">
      <c r="A40" s="20" t="str">
        <f>CONCATENATE(TEXT(O25,"DD-MMM-YYY")," to ",TEXT(O31,"DD-MMM-YYYY"))</f>
        <v>15-Sep-2025 to 21-Sep-2025</v>
      </c>
      <c r="B40" s="11">
        <f t="shared" si="38"/>
        <v>49655.199999999997</v>
      </c>
      <c r="C40" s="11">
        <f t="shared" si="39"/>
        <v>24827.600000000002</v>
      </c>
      <c r="D40" s="11">
        <f>Q32</f>
        <v>74482.8</v>
      </c>
      <c r="E40" s="11">
        <f t="shared" ref="E40:I40" si="41">R32</f>
        <v>173793.2</v>
      </c>
      <c r="F40" s="11">
        <f t="shared" si="41"/>
        <v>248276</v>
      </c>
      <c r="G40" s="11">
        <f t="shared" si="41"/>
        <v>91750</v>
      </c>
      <c r="H40" s="11">
        <f t="shared" si="41"/>
        <v>156526</v>
      </c>
      <c r="I40" s="11">
        <f t="shared" si="41"/>
        <v>37670</v>
      </c>
      <c r="J40" s="11"/>
      <c r="K40" s="11"/>
      <c r="L40" s="11"/>
      <c r="M40" s="11"/>
      <c r="O40" s="10">
        <f t="shared" si="29"/>
        <v>45926</v>
      </c>
      <c r="P40" s="11">
        <f t="shared" si="36"/>
        <v>3740</v>
      </c>
      <c r="Q40" s="11">
        <f t="shared" si="37"/>
        <v>11220</v>
      </c>
      <c r="R40" s="11">
        <f t="shared" si="30"/>
        <v>26180</v>
      </c>
      <c r="S40" s="11">
        <f t="shared" si="34"/>
        <v>37400</v>
      </c>
      <c r="T40" s="11">
        <f t="shared" si="31"/>
        <v>31210</v>
      </c>
      <c r="U40" s="11">
        <f t="shared" si="32"/>
        <v>6190</v>
      </c>
      <c r="V40" s="11">
        <f t="shared" si="33"/>
        <v>5700</v>
      </c>
    </row>
    <row r="41" spans="1:22" x14ac:dyDescent="0.35">
      <c r="A41" s="20" t="str">
        <f>CONCATENATE(TEXT(O36,"DD-MMM-YYY")," to ",TEXT(O41,"DD-MMM-YYYY"))</f>
        <v>22-Sep-2025 to 01-Oct-2025</v>
      </c>
      <c r="B41" s="9">
        <f t="shared" si="38"/>
        <v>35767.800000000003</v>
      </c>
      <c r="C41" s="9">
        <f t="shared" si="39"/>
        <v>17883.899999999998</v>
      </c>
      <c r="D41" s="9">
        <f>Q42</f>
        <v>53651.7</v>
      </c>
      <c r="E41" s="9">
        <f t="shared" ref="E41:I41" si="42">R42</f>
        <v>125187.3</v>
      </c>
      <c r="F41" s="9">
        <f t="shared" si="42"/>
        <v>178839</v>
      </c>
      <c r="G41" s="9">
        <f t="shared" si="42"/>
        <v>93800</v>
      </c>
      <c r="H41" s="9">
        <f t="shared" si="42"/>
        <v>85039</v>
      </c>
      <c r="I41" s="9">
        <f t="shared" si="42"/>
        <v>14680</v>
      </c>
      <c r="J41" s="9"/>
      <c r="K41" s="9"/>
      <c r="L41" s="9"/>
      <c r="M41" s="9"/>
      <c r="O41" s="8">
        <f>A33</f>
        <v>45931</v>
      </c>
      <c r="P41" s="9">
        <f t="shared" si="36"/>
        <v>0</v>
      </c>
      <c r="Q41" s="9">
        <f t="shared" si="37"/>
        <v>0</v>
      </c>
      <c r="R41" s="9">
        <f t="shared" si="30"/>
        <v>0</v>
      </c>
      <c r="S41" s="9">
        <f t="shared" si="34"/>
        <v>0</v>
      </c>
      <c r="T41" s="9">
        <f t="shared" si="31"/>
        <v>0</v>
      </c>
      <c r="U41" s="9">
        <f t="shared" si="32"/>
        <v>0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01-Sep-2025 to 01-Oct-2025</v>
      </c>
      <c r="B42" s="9">
        <f t="shared" si="38"/>
        <v>151893.20000000001</v>
      </c>
      <c r="C42" s="9">
        <f t="shared" si="39"/>
        <v>75946.599999999991</v>
      </c>
      <c r="D42" s="9">
        <f t="shared" ref="D42:I42" si="43">SUM(D38:D41)</f>
        <v>227839.8</v>
      </c>
      <c r="E42" s="9">
        <f t="shared" si="43"/>
        <v>531626.20000000007</v>
      </c>
      <c r="F42" s="9">
        <f t="shared" si="43"/>
        <v>759466</v>
      </c>
      <c r="G42" s="9">
        <f t="shared" si="43"/>
        <v>275761</v>
      </c>
      <c r="H42" s="9">
        <f t="shared" si="43"/>
        <v>483705</v>
      </c>
      <c r="I42" s="9">
        <f t="shared" si="43"/>
        <v>112490</v>
      </c>
      <c r="J42" s="9"/>
      <c r="K42" s="9"/>
      <c r="L42" s="9"/>
      <c r="M42" s="9"/>
      <c r="O42" s="12" t="s">
        <v>3</v>
      </c>
      <c r="P42" s="12">
        <f t="shared" ref="P42:V42" si="44">SUM(P36:P41)</f>
        <v>17883.900000000001</v>
      </c>
      <c r="Q42" s="11">
        <f t="shared" si="44"/>
        <v>53651.7</v>
      </c>
      <c r="R42" s="9">
        <f t="shared" si="44"/>
        <v>125187.3</v>
      </c>
      <c r="S42" s="9">
        <f t="shared" si="44"/>
        <v>178839</v>
      </c>
      <c r="T42" s="9">
        <f t="shared" si="44"/>
        <v>93800</v>
      </c>
      <c r="U42" s="9">
        <f t="shared" si="44"/>
        <v>85039</v>
      </c>
      <c r="V42" s="9">
        <f t="shared" si="44"/>
        <v>14680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17883.899999999998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45905</v>
      </c>
      <c r="P47" s="9"/>
      <c r="Q47" s="9">
        <f t="shared" ref="Q47:V47" si="45">SUM(D8:D33)</f>
        <v>259911.3</v>
      </c>
      <c r="R47" s="9">
        <f t="shared" si="45"/>
        <v>606459.69999999995</v>
      </c>
      <c r="S47" s="9">
        <f t="shared" si="45"/>
        <v>866371</v>
      </c>
      <c r="T47" s="9">
        <f t="shared" si="45"/>
        <v>282820</v>
      </c>
      <c r="U47" s="9">
        <f t="shared" si="45"/>
        <v>583551</v>
      </c>
      <c r="V47" s="9">
        <f t="shared" si="45"/>
        <v>98305</v>
      </c>
    </row>
    <row r="48" spans="1:22" x14ac:dyDescent="0.35">
      <c r="O48" s="12" t="s">
        <v>7</v>
      </c>
      <c r="P48" s="11"/>
      <c r="Q48" s="11">
        <f>Q47/3</f>
        <v>86637.099999999991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154A-547F-4F4C-A0D4-C7D74F71EA4D}">
  <dimension ref="A1:K228"/>
  <sheetViews>
    <sheetView zoomScaleNormal="100" workbookViewId="0">
      <selection activeCell="H8" sqref="H8"/>
    </sheetView>
  </sheetViews>
  <sheetFormatPr defaultRowHeight="14.5" x14ac:dyDescent="0.35"/>
  <cols>
    <col min="1" max="1" width="23.72656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3.36328125" style="26" bestFit="1" customWidth="1"/>
    <col min="9" max="9" width="11.08984375" bestFit="1" customWidth="1"/>
    <col min="10" max="10" width="11.26953125" bestFit="1" customWidth="1"/>
    <col min="11" max="11" width="21.3632812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65" t="s">
        <v>193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45901</v>
      </c>
      <c r="B2" s="23"/>
      <c r="C2" s="23"/>
      <c r="D2" s="23"/>
      <c r="E2" s="7"/>
      <c r="F2" s="36"/>
      <c r="H2" s="26" t="s">
        <v>72</v>
      </c>
      <c r="I2">
        <v>0</v>
      </c>
    </row>
    <row r="3" spans="1:11" x14ac:dyDescent="0.35">
      <c r="A3" s="35"/>
      <c r="B3" s="23"/>
      <c r="C3" s="23"/>
      <c r="D3" s="23"/>
      <c r="E3" s="22"/>
      <c r="F3" s="36"/>
      <c r="H3" s="26">
        <v>45901</v>
      </c>
    </row>
    <row r="4" spans="1:11" x14ac:dyDescent="0.35">
      <c r="A4" s="35"/>
      <c r="B4" s="23"/>
      <c r="C4" s="23"/>
      <c r="D4" s="23"/>
      <c r="E4" s="22"/>
      <c r="F4" s="36"/>
      <c r="H4" s="26" t="s">
        <v>35</v>
      </c>
      <c r="I4">
        <v>0</v>
      </c>
    </row>
    <row r="5" spans="1:11" x14ac:dyDescent="0.35">
      <c r="A5" s="35"/>
      <c r="B5" s="23"/>
      <c r="C5" s="23"/>
      <c r="D5" s="23"/>
      <c r="E5" s="22"/>
      <c r="F5" s="36"/>
      <c r="H5"/>
    </row>
    <row r="6" spans="1:11" x14ac:dyDescent="0.35">
      <c r="A6" s="35"/>
      <c r="B6" s="23"/>
      <c r="C6" s="23"/>
      <c r="D6" s="23"/>
      <c r="E6" s="22"/>
      <c r="F6" s="36"/>
      <c r="H6"/>
    </row>
    <row r="7" spans="1:11" x14ac:dyDescent="0.35">
      <c r="A7" s="35"/>
      <c r="B7" s="23"/>
      <c r="C7" s="23"/>
      <c r="D7" s="23"/>
      <c r="E7" s="22"/>
      <c r="F7" s="36"/>
      <c r="H7"/>
    </row>
    <row r="8" spans="1:11" x14ac:dyDescent="0.35">
      <c r="A8" s="35"/>
      <c r="B8" s="23"/>
      <c r="C8" s="23"/>
      <c r="D8" s="23"/>
      <c r="E8" s="22"/>
      <c r="F8" s="36"/>
      <c r="H8"/>
    </row>
    <row r="9" spans="1:11" x14ac:dyDescent="0.35">
      <c r="A9" s="35"/>
      <c r="B9" s="23"/>
      <c r="C9" s="23"/>
      <c r="D9" s="23"/>
      <c r="E9" s="22"/>
      <c r="F9" s="36"/>
      <c r="H9"/>
    </row>
    <row r="10" spans="1:11" x14ac:dyDescent="0.35">
      <c r="A10" s="35"/>
      <c r="B10" s="23"/>
      <c r="C10" s="23"/>
      <c r="D10" s="23"/>
      <c r="E10" s="22"/>
      <c r="F10" s="36"/>
      <c r="H10"/>
    </row>
    <row r="11" spans="1:11" x14ac:dyDescent="0.35">
      <c r="A11" s="35"/>
      <c r="B11" s="23"/>
      <c r="C11" s="23"/>
      <c r="D11" s="23"/>
      <c r="E11" s="22"/>
      <c r="F11" s="36"/>
      <c r="H11"/>
    </row>
    <row r="12" spans="1:11" x14ac:dyDescent="0.35">
      <c r="A12" s="35"/>
      <c r="B12" s="23"/>
      <c r="C12" s="23"/>
      <c r="D12" s="23"/>
      <c r="E12" s="22"/>
      <c r="F12" s="36"/>
      <c r="H12"/>
    </row>
    <row r="13" spans="1:11" x14ac:dyDescent="0.35">
      <c r="A13" s="35"/>
      <c r="B13" s="23"/>
      <c r="C13" s="23"/>
      <c r="D13" s="23"/>
      <c r="E13" s="22"/>
      <c r="F13" s="36"/>
      <c r="H13"/>
    </row>
    <row r="14" spans="1:11" x14ac:dyDescent="0.35">
      <c r="A14" s="35"/>
      <c r="B14" s="23"/>
      <c r="C14" s="23"/>
      <c r="D14" s="23"/>
      <c r="E14" s="22"/>
      <c r="F14" s="36"/>
      <c r="H14"/>
    </row>
    <row r="15" spans="1:11" x14ac:dyDescent="0.35">
      <c r="A15" s="35"/>
      <c r="B15" s="23"/>
      <c r="C15" s="23"/>
      <c r="D15" s="23"/>
      <c r="E15" s="22"/>
      <c r="F15" s="36"/>
      <c r="H15"/>
    </row>
    <row r="16" spans="1:11" x14ac:dyDescent="0.35">
      <c r="A16" s="35"/>
      <c r="B16" s="23"/>
      <c r="C16" s="23"/>
      <c r="D16" s="23"/>
      <c r="E16" s="22"/>
      <c r="F16" s="36"/>
      <c r="H16"/>
    </row>
    <row r="17" spans="1:8" x14ac:dyDescent="0.35">
      <c r="A17" s="35"/>
      <c r="B17" s="23"/>
      <c r="C17" s="23"/>
      <c r="D17" s="23"/>
      <c r="E17" s="22"/>
      <c r="F17" s="36"/>
      <c r="H17"/>
    </row>
    <row r="18" spans="1:8" x14ac:dyDescent="0.35">
      <c r="A18" s="35"/>
      <c r="B18" s="23"/>
      <c r="C18" s="23"/>
      <c r="D18" s="23"/>
      <c r="E18" s="22"/>
      <c r="F18" s="36"/>
      <c r="H18"/>
    </row>
    <row r="19" spans="1:8" x14ac:dyDescent="0.35">
      <c r="A19" s="35"/>
      <c r="B19" s="23"/>
      <c r="C19" s="23"/>
      <c r="D19" s="23"/>
      <c r="E19" s="22"/>
      <c r="F19" s="36"/>
      <c r="H19"/>
    </row>
    <row r="20" spans="1:8" x14ac:dyDescent="0.35">
      <c r="A20" s="35"/>
      <c r="B20" s="23"/>
      <c r="C20" s="23"/>
      <c r="D20" s="23"/>
      <c r="E20" s="22"/>
      <c r="F20" s="36"/>
      <c r="H20"/>
    </row>
    <row r="21" spans="1:8" x14ac:dyDescent="0.35">
      <c r="A21" s="35"/>
      <c r="B21" s="23"/>
      <c r="C21" s="23"/>
      <c r="D21" s="23"/>
      <c r="E21" s="22"/>
      <c r="F21" s="36"/>
      <c r="H21"/>
    </row>
    <row r="22" spans="1:8" x14ac:dyDescent="0.35">
      <c r="A22" s="35"/>
      <c r="B22" s="23"/>
      <c r="C22" s="23"/>
      <c r="D22" s="23"/>
      <c r="E22" s="22"/>
      <c r="F22" s="36"/>
      <c r="H22"/>
    </row>
    <row r="23" spans="1:8" x14ac:dyDescent="0.35">
      <c r="A23" s="35"/>
      <c r="B23" s="23"/>
      <c r="C23" s="23"/>
      <c r="D23" s="23"/>
      <c r="E23" s="22"/>
      <c r="F23" s="36"/>
      <c r="H23"/>
    </row>
    <row r="24" spans="1:8" x14ac:dyDescent="0.35">
      <c r="A24" s="35"/>
      <c r="B24" s="23"/>
      <c r="C24" s="23"/>
      <c r="D24" s="23"/>
      <c r="E24" s="22"/>
      <c r="F24" s="36"/>
      <c r="H24"/>
    </row>
    <row r="25" spans="1:8" x14ac:dyDescent="0.35">
      <c r="A25" s="35"/>
      <c r="B25" s="23"/>
      <c r="C25" s="23"/>
      <c r="D25" s="23"/>
      <c r="E25" s="22"/>
      <c r="F25" s="36"/>
      <c r="H25"/>
    </row>
    <row r="26" spans="1:8" x14ac:dyDescent="0.35">
      <c r="A26" s="35"/>
      <c r="B26" s="23"/>
      <c r="C26" s="23"/>
      <c r="D26" s="23"/>
      <c r="E26" s="22"/>
      <c r="F26" s="36"/>
      <c r="H26"/>
    </row>
    <row r="27" spans="1:8" x14ac:dyDescent="0.35">
      <c r="A27" s="35"/>
      <c r="B27" s="23"/>
      <c r="C27" s="23"/>
      <c r="D27" s="23"/>
      <c r="E27" s="23"/>
      <c r="F27" s="36"/>
      <c r="H27"/>
    </row>
    <row r="28" spans="1:8" x14ac:dyDescent="0.35">
      <c r="A28" s="35"/>
      <c r="B28" s="23"/>
      <c r="C28" s="23"/>
      <c r="D28" s="23"/>
      <c r="E28" s="22"/>
      <c r="F28" s="36"/>
      <c r="H28"/>
    </row>
    <row r="29" spans="1:8" x14ac:dyDescent="0.35">
      <c r="A29" s="35"/>
      <c r="B29" s="23"/>
      <c r="C29" s="23"/>
      <c r="D29" s="23"/>
      <c r="E29" s="22"/>
      <c r="F29" s="36"/>
      <c r="H29"/>
    </row>
    <row r="30" spans="1:8" x14ac:dyDescent="0.35">
      <c r="A30" s="35"/>
      <c r="B30" s="23"/>
      <c r="C30" s="23"/>
      <c r="D30" s="23"/>
      <c r="E30" s="22"/>
      <c r="F30" s="36"/>
      <c r="H30"/>
    </row>
    <row r="31" spans="1:8" x14ac:dyDescent="0.35">
      <c r="A31" s="35"/>
      <c r="B31" s="23"/>
      <c r="C31" s="23"/>
      <c r="D31" s="23"/>
      <c r="E31" s="22"/>
      <c r="F31" s="36"/>
      <c r="H31"/>
    </row>
    <row r="32" spans="1:8" x14ac:dyDescent="0.35">
      <c r="A32" s="35"/>
      <c r="B32" s="23"/>
      <c r="C32" s="23"/>
      <c r="D32" s="23"/>
      <c r="E32" s="22"/>
      <c r="F32" s="36"/>
      <c r="H32"/>
    </row>
    <row r="33" spans="1:8" x14ac:dyDescent="0.35">
      <c r="A33" s="35"/>
      <c r="B33" s="23"/>
      <c r="C33" s="23"/>
      <c r="D33" s="23"/>
      <c r="E33" s="22"/>
      <c r="F33" s="36"/>
      <c r="H33"/>
    </row>
    <row r="34" spans="1:8" x14ac:dyDescent="0.35">
      <c r="A34" s="35"/>
      <c r="B34" s="23"/>
      <c r="C34" s="23"/>
      <c r="D34" s="23"/>
      <c r="E34" s="22"/>
      <c r="F34" s="36"/>
      <c r="H34"/>
    </row>
    <row r="35" spans="1:8" x14ac:dyDescent="0.35">
      <c r="A35" s="35"/>
      <c r="B35" s="23"/>
      <c r="C35" s="23"/>
      <c r="D35" s="23"/>
      <c r="E35" s="22"/>
      <c r="F35" s="36"/>
    </row>
    <row r="36" spans="1:8" x14ac:dyDescent="0.35">
      <c r="A36" s="35"/>
      <c r="B36" s="23"/>
      <c r="C36" s="23"/>
      <c r="D36" s="23"/>
      <c r="E36" s="22"/>
      <c r="F36" s="36"/>
    </row>
    <row r="37" spans="1:8" x14ac:dyDescent="0.35">
      <c r="A37" s="35"/>
      <c r="B37" s="23"/>
      <c r="C37" s="23"/>
      <c r="D37" s="23"/>
      <c r="E37" s="22"/>
      <c r="F37" s="36"/>
    </row>
    <row r="38" spans="1:8" x14ac:dyDescent="0.35">
      <c r="A38" s="35"/>
      <c r="B38" s="23"/>
      <c r="C38" s="23"/>
      <c r="D38" s="23"/>
      <c r="E38" s="22"/>
      <c r="F38" s="36"/>
    </row>
    <row r="39" spans="1:8" x14ac:dyDescent="0.35">
      <c r="A39" s="35"/>
      <c r="B39" s="23"/>
      <c r="C39" s="23"/>
      <c r="D39" s="23"/>
      <c r="E39" s="22"/>
      <c r="F39" s="36"/>
    </row>
    <row r="40" spans="1:8" x14ac:dyDescent="0.35">
      <c r="A40" s="35"/>
      <c r="B40" s="23"/>
      <c r="C40" s="23"/>
      <c r="D40" s="23"/>
      <c r="E40" s="22"/>
      <c r="F40" s="36"/>
    </row>
    <row r="41" spans="1:8" x14ac:dyDescent="0.35">
      <c r="A41" s="35"/>
      <c r="B41" s="23"/>
      <c r="C41" s="23"/>
      <c r="D41" s="23"/>
      <c r="E41" s="22"/>
      <c r="F41" s="36"/>
    </row>
    <row r="42" spans="1:8" x14ac:dyDescent="0.35">
      <c r="A42" s="35"/>
      <c r="B42" s="23"/>
      <c r="C42" s="23"/>
      <c r="D42" s="23"/>
      <c r="E42" s="22"/>
      <c r="F42" s="36"/>
    </row>
    <row r="43" spans="1:8" x14ac:dyDescent="0.35">
      <c r="A43" s="35"/>
      <c r="B43" s="23"/>
      <c r="C43" s="23"/>
      <c r="D43" s="23"/>
      <c r="E43" s="22"/>
      <c r="F43" s="36"/>
    </row>
    <row r="44" spans="1:8" x14ac:dyDescent="0.35">
      <c r="A44" s="35"/>
      <c r="B44" s="23"/>
      <c r="C44" s="23"/>
      <c r="D44" s="23"/>
      <c r="E44" s="22"/>
      <c r="F44" s="36"/>
    </row>
    <row r="45" spans="1:8" x14ac:dyDescent="0.35">
      <c r="A45" s="35"/>
      <c r="B45" s="23"/>
      <c r="C45" s="23"/>
      <c r="D45" s="23"/>
      <c r="E45" s="22"/>
      <c r="F45" s="36"/>
    </row>
    <row r="46" spans="1:8" x14ac:dyDescent="0.35">
      <c r="A46" s="35"/>
      <c r="B46" s="23"/>
      <c r="C46" s="23"/>
      <c r="D46" s="23"/>
      <c r="E46" s="22"/>
      <c r="F46" s="36"/>
    </row>
    <row r="47" spans="1:8" x14ac:dyDescent="0.35">
      <c r="A47" s="35"/>
      <c r="B47" s="23"/>
      <c r="C47" s="23"/>
      <c r="D47" s="23"/>
      <c r="E47" s="22"/>
      <c r="F47" s="36"/>
    </row>
    <row r="48" spans="1:8" x14ac:dyDescent="0.35">
      <c r="A48" s="35"/>
      <c r="B48" s="23"/>
      <c r="C48" s="23"/>
      <c r="D48" s="23"/>
      <c r="E48" s="22"/>
      <c r="F48" s="36"/>
    </row>
    <row r="49" spans="1:6" x14ac:dyDescent="0.35">
      <c r="A49" s="35"/>
      <c r="B49" s="23"/>
      <c r="C49" s="23"/>
      <c r="D49" s="23"/>
      <c r="E49" s="22"/>
      <c r="F49" s="36"/>
    </row>
    <row r="50" spans="1:6" x14ac:dyDescent="0.35">
      <c r="A50" s="35"/>
      <c r="B50" s="23"/>
      <c r="C50" s="23"/>
      <c r="D50" s="23"/>
      <c r="E50" s="22"/>
      <c r="F50" s="36"/>
    </row>
    <row r="51" spans="1:6" x14ac:dyDescent="0.35">
      <c r="A51" s="35"/>
      <c r="B51" s="23"/>
      <c r="C51" s="23"/>
      <c r="D51" s="23"/>
      <c r="E51" s="22"/>
      <c r="F51" s="36"/>
    </row>
    <row r="52" spans="1:6" x14ac:dyDescent="0.35">
      <c r="A52" s="35"/>
      <c r="B52" s="23"/>
      <c r="C52" s="23"/>
      <c r="D52" s="23"/>
      <c r="E52" s="22"/>
      <c r="F52" s="36"/>
    </row>
    <row r="53" spans="1:6" x14ac:dyDescent="0.35">
      <c r="A53" s="35"/>
      <c r="B53" s="23"/>
      <c r="C53" s="23"/>
      <c r="D53" s="23"/>
      <c r="E53" s="22"/>
      <c r="F53" s="36"/>
    </row>
    <row r="54" spans="1:6" x14ac:dyDescent="0.35">
      <c r="A54" s="35"/>
      <c r="B54" s="23"/>
      <c r="C54" s="23"/>
      <c r="D54" s="23"/>
      <c r="E54" s="22"/>
      <c r="F54" s="36"/>
    </row>
    <row r="55" spans="1:6" x14ac:dyDescent="0.35">
      <c r="A55" s="35"/>
      <c r="B55" s="23"/>
      <c r="C55" s="23"/>
      <c r="D55" s="23"/>
      <c r="E55" s="22"/>
      <c r="F55" s="36"/>
    </row>
    <row r="56" spans="1:6" x14ac:dyDescent="0.35">
      <c r="A56" s="35"/>
      <c r="B56" s="23"/>
      <c r="C56" s="23"/>
      <c r="D56" s="23"/>
      <c r="E56" s="22"/>
      <c r="F56" s="36"/>
    </row>
    <row r="57" spans="1:6" x14ac:dyDescent="0.35">
      <c r="A57" s="35"/>
      <c r="B57" s="23"/>
      <c r="C57" s="23"/>
      <c r="D57" s="23"/>
      <c r="E57" s="22"/>
      <c r="F57" s="36"/>
    </row>
    <row r="58" spans="1:6" x14ac:dyDescent="0.35">
      <c r="A58" s="35"/>
      <c r="B58" s="23"/>
      <c r="C58" s="23"/>
      <c r="D58" s="23"/>
      <c r="E58" s="22"/>
      <c r="F58" s="36"/>
    </row>
    <row r="59" spans="1:6" x14ac:dyDescent="0.35">
      <c r="A59" s="35"/>
      <c r="B59" s="23"/>
      <c r="C59" s="23"/>
      <c r="D59" s="23"/>
      <c r="E59" s="22"/>
      <c r="F59" s="36"/>
    </row>
    <row r="60" spans="1:6" x14ac:dyDescent="0.35">
      <c r="A60" s="35"/>
      <c r="B60" s="23"/>
      <c r="C60" s="23"/>
      <c r="D60" s="23"/>
      <c r="E60" s="22"/>
      <c r="F60" s="36"/>
    </row>
    <row r="61" spans="1:6" x14ac:dyDescent="0.35">
      <c r="A61" s="35"/>
      <c r="B61" s="23"/>
      <c r="C61" s="23"/>
      <c r="D61" s="23"/>
      <c r="E61" s="22"/>
      <c r="F61" s="36"/>
    </row>
    <row r="62" spans="1:6" x14ac:dyDescent="0.35">
      <c r="A62" s="35"/>
      <c r="B62" s="23"/>
      <c r="C62" s="23"/>
      <c r="D62" s="23"/>
      <c r="E62" s="22"/>
      <c r="F62" s="36"/>
    </row>
    <row r="63" spans="1:6" x14ac:dyDescent="0.35">
      <c r="A63" s="35"/>
      <c r="B63" s="23"/>
      <c r="C63" s="23"/>
      <c r="D63" s="23"/>
      <c r="E63" s="22"/>
      <c r="F63" s="36"/>
    </row>
    <row r="64" spans="1:6" x14ac:dyDescent="0.35">
      <c r="A64" s="35"/>
      <c r="B64" s="23"/>
      <c r="C64" s="23"/>
      <c r="D64" s="23"/>
      <c r="E64" s="22"/>
      <c r="F64" s="36"/>
    </row>
    <row r="65" spans="1:6" x14ac:dyDescent="0.35">
      <c r="A65" s="35"/>
      <c r="B65" s="23"/>
      <c r="C65" s="23"/>
      <c r="D65" s="23"/>
      <c r="E65" s="22"/>
      <c r="F65" s="36"/>
    </row>
    <row r="66" spans="1:6" x14ac:dyDescent="0.35">
      <c r="A66" s="35"/>
      <c r="B66" s="23"/>
      <c r="C66" s="23"/>
      <c r="D66" s="23"/>
      <c r="E66" s="22"/>
      <c r="F66" s="36"/>
    </row>
    <row r="67" spans="1:6" x14ac:dyDescent="0.35">
      <c r="A67" s="35"/>
      <c r="B67" s="23"/>
      <c r="C67" s="23"/>
      <c r="D67" s="23"/>
      <c r="E67" s="22"/>
      <c r="F67" s="36"/>
    </row>
    <row r="68" spans="1:6" x14ac:dyDescent="0.35">
      <c r="A68" s="35"/>
      <c r="B68" s="23"/>
      <c r="C68" s="23"/>
      <c r="D68" s="23"/>
      <c r="E68" s="22"/>
      <c r="F68" s="36"/>
    </row>
    <row r="69" spans="1:6" x14ac:dyDescent="0.35">
      <c r="A69" s="35"/>
      <c r="B69" s="23"/>
      <c r="C69" s="23"/>
      <c r="D69" s="23"/>
      <c r="E69" s="22"/>
      <c r="F69" s="36"/>
    </row>
    <row r="70" spans="1:6" x14ac:dyDescent="0.35">
      <c r="A70" s="35"/>
      <c r="B70" s="23"/>
      <c r="C70" s="23"/>
      <c r="D70" s="23"/>
      <c r="E70" s="22"/>
      <c r="F70" s="36"/>
    </row>
    <row r="71" spans="1:6" x14ac:dyDescent="0.35">
      <c r="A71" s="35"/>
      <c r="B71" s="23"/>
      <c r="C71" s="23"/>
      <c r="D71" s="23"/>
      <c r="E71" s="22"/>
      <c r="F71" s="36"/>
    </row>
    <row r="72" spans="1:6" x14ac:dyDescent="0.35">
      <c r="A72" s="35"/>
      <c r="B72" s="23"/>
      <c r="C72" s="23"/>
      <c r="D72" s="23"/>
      <c r="E72" s="22"/>
      <c r="F72" s="36"/>
    </row>
    <row r="73" spans="1:6" x14ac:dyDescent="0.35">
      <c r="A73" s="35"/>
      <c r="B73" s="23"/>
      <c r="C73" s="23"/>
      <c r="D73" s="23"/>
      <c r="E73" s="22"/>
      <c r="F73" s="36"/>
    </row>
    <row r="74" spans="1:6" x14ac:dyDescent="0.35">
      <c r="A74" s="35"/>
      <c r="B74" s="23"/>
      <c r="C74" s="23"/>
      <c r="D74" s="23"/>
      <c r="E74" s="22"/>
      <c r="F74" s="36"/>
    </row>
    <row r="75" spans="1:6" x14ac:dyDescent="0.35">
      <c r="A75" s="35"/>
      <c r="B75" s="23"/>
      <c r="C75" s="23"/>
      <c r="D75" s="23"/>
      <c r="E75" s="22"/>
      <c r="F75" s="36"/>
    </row>
    <row r="76" spans="1:6" x14ac:dyDescent="0.35">
      <c r="A76" s="35"/>
      <c r="B76" s="23"/>
      <c r="C76" s="23"/>
      <c r="D76" s="23"/>
      <c r="E76" s="22"/>
      <c r="F76" s="36"/>
    </row>
    <row r="77" spans="1:6" x14ac:dyDescent="0.35">
      <c r="A77" s="35"/>
      <c r="B77" s="23"/>
      <c r="C77" s="23"/>
      <c r="D77" s="23"/>
      <c r="E77" s="22"/>
      <c r="F77" s="36"/>
    </row>
    <row r="78" spans="1:6" x14ac:dyDescent="0.35">
      <c r="A78" s="35"/>
      <c r="B78" s="23"/>
      <c r="C78" s="23"/>
      <c r="D78" s="23"/>
      <c r="E78" s="22"/>
      <c r="F78" s="36"/>
    </row>
    <row r="79" spans="1:6" x14ac:dyDescent="0.35">
      <c r="A79" s="35"/>
      <c r="B79" s="23"/>
      <c r="C79" s="23"/>
      <c r="D79" s="23"/>
      <c r="E79" s="22"/>
      <c r="F79" s="36"/>
    </row>
    <row r="80" spans="1:6" x14ac:dyDescent="0.35">
      <c r="A80" s="35"/>
      <c r="B80" s="23"/>
      <c r="C80" s="23"/>
      <c r="D80" s="23"/>
      <c r="E80" s="22"/>
      <c r="F80" s="36"/>
    </row>
    <row r="81" spans="1:6" x14ac:dyDescent="0.35">
      <c r="A81" s="35"/>
      <c r="B81" s="23"/>
      <c r="C81" s="23"/>
      <c r="D81" s="23"/>
      <c r="E81" s="22"/>
      <c r="F81" s="36"/>
    </row>
    <row r="82" spans="1:6" x14ac:dyDescent="0.35">
      <c r="A82" s="35"/>
      <c r="B82" s="23"/>
      <c r="C82" s="23"/>
      <c r="D82" s="23"/>
      <c r="E82" s="22"/>
      <c r="F82" s="36"/>
    </row>
    <row r="83" spans="1:6" x14ac:dyDescent="0.35">
      <c r="A83" s="35"/>
      <c r="B83" s="23"/>
      <c r="C83" s="23"/>
      <c r="D83" s="23"/>
      <c r="E83" s="22"/>
      <c r="F83" s="36"/>
    </row>
    <row r="84" spans="1:6" x14ac:dyDescent="0.35">
      <c r="A84" s="35"/>
      <c r="B84" s="23"/>
      <c r="C84" s="23"/>
      <c r="D84" s="23"/>
      <c r="E84" s="22"/>
      <c r="F84" s="36"/>
    </row>
    <row r="85" spans="1:6" x14ac:dyDescent="0.35">
      <c r="A85" s="35"/>
      <c r="B85" s="23"/>
      <c r="C85" s="23"/>
      <c r="D85" s="23"/>
      <c r="E85" s="22"/>
      <c r="F85" s="36"/>
    </row>
    <row r="86" spans="1:6" x14ac:dyDescent="0.35">
      <c r="A86" s="35"/>
      <c r="B86" s="23"/>
      <c r="C86" s="23"/>
      <c r="D86" s="23"/>
      <c r="E86" s="22"/>
      <c r="F86" s="36"/>
    </row>
    <row r="87" spans="1:6" x14ac:dyDescent="0.35">
      <c r="A87" s="35"/>
      <c r="B87" s="23"/>
      <c r="C87" s="23"/>
      <c r="D87" s="23"/>
      <c r="E87" s="22"/>
      <c r="F87" s="36"/>
    </row>
    <row r="88" spans="1:6" x14ac:dyDescent="0.35">
      <c r="A88" s="35"/>
      <c r="B88" s="23"/>
      <c r="C88" s="23"/>
      <c r="D88" s="23"/>
      <c r="E88" s="22"/>
      <c r="F88" s="36"/>
    </row>
    <row r="89" spans="1:6" x14ac:dyDescent="0.35">
      <c r="A89" s="35"/>
      <c r="B89" s="23"/>
      <c r="C89" s="23"/>
      <c r="D89" s="23"/>
      <c r="E89" s="22"/>
      <c r="F89" s="36"/>
    </row>
    <row r="90" spans="1:6" x14ac:dyDescent="0.35">
      <c r="A90" s="35"/>
      <c r="B90" s="23"/>
      <c r="C90" s="23"/>
      <c r="D90" s="23"/>
      <c r="E90" s="22"/>
      <c r="F90" s="36"/>
    </row>
    <row r="91" spans="1:6" x14ac:dyDescent="0.35">
      <c r="A91" s="35"/>
      <c r="B91" s="23"/>
      <c r="C91" s="23"/>
      <c r="D91" s="23"/>
      <c r="E91" s="22"/>
      <c r="F91" s="36"/>
    </row>
    <row r="92" spans="1:6" x14ac:dyDescent="0.35">
      <c r="A92" s="35"/>
      <c r="B92" s="23"/>
      <c r="C92" s="23"/>
      <c r="D92" s="23"/>
      <c r="E92" s="22"/>
      <c r="F92" s="36"/>
    </row>
    <row r="93" spans="1:6" x14ac:dyDescent="0.35">
      <c r="A93" s="35"/>
      <c r="B93" s="23"/>
      <c r="C93" s="23"/>
      <c r="D93" s="23"/>
      <c r="E93" s="22"/>
      <c r="F93" s="36"/>
    </row>
    <row r="94" spans="1:6" x14ac:dyDescent="0.35">
      <c r="A94" s="35"/>
      <c r="B94" s="23"/>
      <c r="C94" s="23"/>
      <c r="D9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94" s="22"/>
      <c r="F94" s="36"/>
    </row>
    <row r="95" spans="1:6" x14ac:dyDescent="0.35">
      <c r="A95" s="35"/>
      <c r="B95" s="23"/>
      <c r="C95" s="23"/>
      <c r="D9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95" s="22"/>
      <c r="F95" s="36"/>
    </row>
    <row r="96" spans="1:6" x14ac:dyDescent="0.35">
      <c r="A96" s="35"/>
      <c r="B96" s="23"/>
      <c r="C96" s="23"/>
      <c r="D9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96" s="22"/>
      <c r="F96" s="36"/>
    </row>
    <row r="97" spans="1:6" x14ac:dyDescent="0.35">
      <c r="A97" s="35"/>
      <c r="B97" s="23"/>
      <c r="C97" s="23"/>
      <c r="D9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97" s="22"/>
      <c r="F97" s="36"/>
    </row>
    <row r="98" spans="1:6" x14ac:dyDescent="0.35">
      <c r="A98" s="35"/>
      <c r="B98" s="23"/>
      <c r="C98" s="23"/>
      <c r="D9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98" s="22"/>
      <c r="F98" s="36"/>
    </row>
    <row r="99" spans="1:6" x14ac:dyDescent="0.35">
      <c r="A99" s="35"/>
      <c r="B99" s="23"/>
      <c r="C99" s="23"/>
      <c r="D9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99" s="22"/>
      <c r="F99" s="36"/>
    </row>
    <row r="100" spans="1:6" x14ac:dyDescent="0.35">
      <c r="A100" s="35"/>
      <c r="B100" s="23"/>
      <c r="C100" s="23"/>
      <c r="D10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0" s="22"/>
      <c r="F100" s="36"/>
    </row>
    <row r="101" spans="1:6" x14ac:dyDescent="0.35">
      <c r="A101" s="35"/>
      <c r="B101" s="23"/>
      <c r="C101" s="23"/>
      <c r="D10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1" s="22"/>
      <c r="F101" s="36"/>
    </row>
    <row r="102" spans="1:6" x14ac:dyDescent="0.35">
      <c r="A102" s="35"/>
      <c r="B102" s="23"/>
      <c r="C102" s="23"/>
      <c r="D10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2" s="22"/>
      <c r="F102" s="36"/>
    </row>
    <row r="103" spans="1:6" x14ac:dyDescent="0.35">
      <c r="A103" s="35"/>
      <c r="B103" s="23"/>
      <c r="C103" s="23"/>
      <c r="D10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3" s="22"/>
      <c r="F103" s="36"/>
    </row>
    <row r="104" spans="1:6" x14ac:dyDescent="0.35">
      <c r="A104" s="35"/>
      <c r="B104" s="23"/>
      <c r="C104" s="23"/>
      <c r="D10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4" s="22"/>
      <c r="F104" s="36"/>
    </row>
    <row r="105" spans="1:6" x14ac:dyDescent="0.35">
      <c r="A105" s="35"/>
      <c r="B105" s="23"/>
      <c r="C105" s="23"/>
      <c r="D10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5" s="22"/>
      <c r="F105" s="36"/>
    </row>
    <row r="106" spans="1:6" x14ac:dyDescent="0.35">
      <c r="A106" s="35"/>
      <c r="B106" s="23"/>
      <c r="C106" s="23"/>
      <c r="D10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6" s="22"/>
      <c r="F106" s="36"/>
    </row>
    <row r="107" spans="1:6" x14ac:dyDescent="0.35">
      <c r="A107" s="35"/>
      <c r="B107" s="23"/>
      <c r="C107" s="23"/>
      <c r="D10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7" s="22"/>
      <c r="F107" s="36"/>
    </row>
    <row r="108" spans="1:6" x14ac:dyDescent="0.35">
      <c r="A108" s="35"/>
      <c r="B108" s="23"/>
      <c r="C108" s="23"/>
      <c r="D10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8" s="22"/>
      <c r="F108" s="36"/>
    </row>
    <row r="109" spans="1:6" x14ac:dyDescent="0.35">
      <c r="A109" s="35"/>
      <c r="B109" s="23"/>
      <c r="C109" s="23"/>
      <c r="D10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09" s="22"/>
      <c r="F109" s="36"/>
    </row>
    <row r="110" spans="1:6" x14ac:dyDescent="0.35">
      <c r="A110" s="35"/>
      <c r="B110" s="23"/>
      <c r="C110" s="23"/>
      <c r="D11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0" s="22"/>
      <c r="F110" s="36"/>
    </row>
    <row r="111" spans="1:6" x14ac:dyDescent="0.35">
      <c r="A111" s="35"/>
      <c r="B111" s="23"/>
      <c r="C111" s="23"/>
      <c r="D11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1" s="22"/>
      <c r="F111" s="36"/>
    </row>
    <row r="112" spans="1:6" x14ac:dyDescent="0.35">
      <c r="A112" s="35"/>
      <c r="B112" s="23"/>
      <c r="C112" s="23"/>
      <c r="D11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2" s="22"/>
      <c r="F112" s="36"/>
    </row>
    <row r="113" spans="1:6" x14ac:dyDescent="0.35">
      <c r="A113" s="35"/>
      <c r="B113" s="23"/>
      <c r="C113" s="23"/>
      <c r="D11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3" s="22"/>
      <c r="F113" s="36"/>
    </row>
    <row r="114" spans="1:6" x14ac:dyDescent="0.35">
      <c r="A114" s="35"/>
      <c r="B114" s="23"/>
      <c r="C114" s="23"/>
      <c r="D11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4" s="22"/>
      <c r="F114" s="36"/>
    </row>
    <row r="115" spans="1:6" x14ac:dyDescent="0.35">
      <c r="A115" s="35"/>
      <c r="B115" s="23"/>
      <c r="C115" s="23"/>
      <c r="D11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5" s="22"/>
      <c r="F115" s="36"/>
    </row>
    <row r="116" spans="1:6" x14ac:dyDescent="0.35">
      <c r="A116" s="35"/>
      <c r="B116" s="23"/>
      <c r="C116" s="23"/>
      <c r="D11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6" s="22"/>
      <c r="F116" s="36"/>
    </row>
    <row r="117" spans="1:6" x14ac:dyDescent="0.35">
      <c r="A117" s="35"/>
      <c r="B117" s="23"/>
      <c r="C117" s="23"/>
      <c r="D11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7" s="22"/>
      <c r="F117" s="36"/>
    </row>
    <row r="118" spans="1:6" x14ac:dyDescent="0.35">
      <c r="A118" s="35"/>
      <c r="B118" s="23"/>
      <c r="C118" s="23"/>
      <c r="D11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8" s="22"/>
      <c r="F118" s="36"/>
    </row>
    <row r="119" spans="1:6" x14ac:dyDescent="0.35">
      <c r="A119" s="35"/>
      <c r="B119" s="23"/>
      <c r="C119" s="23"/>
      <c r="D11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19" s="44"/>
      <c r="F119" s="36"/>
    </row>
    <row r="120" spans="1:6" x14ac:dyDescent="0.35">
      <c r="A120" s="35"/>
      <c r="B120" s="23"/>
      <c r="C120" s="23"/>
      <c r="D12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0" s="22"/>
      <c r="F120" s="36"/>
    </row>
    <row r="121" spans="1:6" x14ac:dyDescent="0.35">
      <c r="A121" s="35"/>
      <c r="B121" s="23"/>
      <c r="C121" s="23"/>
      <c r="D12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1" s="22"/>
      <c r="F121" s="36"/>
    </row>
    <row r="122" spans="1:6" x14ac:dyDescent="0.35">
      <c r="A122" s="35"/>
      <c r="B122" s="23"/>
      <c r="C122" s="23"/>
      <c r="D12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2" s="22"/>
      <c r="F122" s="36"/>
    </row>
    <row r="123" spans="1:6" x14ac:dyDescent="0.35">
      <c r="A123" s="35"/>
      <c r="B123" s="23"/>
      <c r="C123" s="23"/>
      <c r="D12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3" s="22"/>
      <c r="F123" s="36"/>
    </row>
    <row r="124" spans="1:6" x14ac:dyDescent="0.35">
      <c r="A124" s="35"/>
      <c r="B124" s="23"/>
      <c r="C124" s="23"/>
      <c r="D12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4" s="22"/>
      <c r="F124" s="36"/>
    </row>
    <row r="125" spans="1:6" x14ac:dyDescent="0.35">
      <c r="A125" s="35"/>
      <c r="B125" s="23"/>
      <c r="C125" s="23"/>
      <c r="D12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5" s="22"/>
      <c r="F125" s="36"/>
    </row>
    <row r="126" spans="1:6" x14ac:dyDescent="0.35">
      <c r="A126" s="35"/>
      <c r="B126" s="23"/>
      <c r="C126" s="23"/>
      <c r="D12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6" s="22"/>
      <c r="F126" s="36"/>
    </row>
    <row r="127" spans="1:6" x14ac:dyDescent="0.35">
      <c r="A127" s="35"/>
      <c r="B127" s="23"/>
      <c r="C127" s="23"/>
      <c r="D12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7" s="22"/>
      <c r="F127" s="36"/>
    </row>
    <row r="128" spans="1:6" x14ac:dyDescent="0.35">
      <c r="A128" s="35"/>
      <c r="B128" s="23"/>
      <c r="C128" s="23"/>
      <c r="D12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8" s="22"/>
      <c r="F128" s="36"/>
    </row>
    <row r="129" spans="1:6" x14ac:dyDescent="0.35">
      <c r="A129" s="35"/>
      <c r="B129" s="23"/>
      <c r="C129" s="23"/>
      <c r="D12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29" s="22"/>
      <c r="F129" s="36"/>
    </row>
    <row r="130" spans="1:6" x14ac:dyDescent="0.35">
      <c r="A130" s="35"/>
      <c r="B130" s="23"/>
      <c r="C130" s="23"/>
      <c r="D13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0" s="22"/>
      <c r="F130" s="36"/>
    </row>
    <row r="131" spans="1:6" x14ac:dyDescent="0.35">
      <c r="A131" s="35"/>
      <c r="B131" s="23"/>
      <c r="C131" s="23"/>
      <c r="D13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1" s="22"/>
      <c r="F131" s="36"/>
    </row>
    <row r="132" spans="1:6" x14ac:dyDescent="0.35">
      <c r="A132" s="35"/>
      <c r="B132" s="23"/>
      <c r="C132" s="23"/>
      <c r="D13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2" s="22"/>
      <c r="F132" s="36"/>
    </row>
    <row r="133" spans="1:6" x14ac:dyDescent="0.35">
      <c r="A133" s="35"/>
      <c r="B133" s="23"/>
      <c r="C133" s="23"/>
      <c r="D13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3" s="22"/>
      <c r="F133" s="36"/>
    </row>
    <row r="134" spans="1:6" x14ac:dyDescent="0.35">
      <c r="A134" s="35"/>
      <c r="B134" s="23"/>
      <c r="C134" s="23"/>
      <c r="D13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4" s="22"/>
      <c r="F134" s="36"/>
    </row>
    <row r="135" spans="1:6" x14ac:dyDescent="0.35">
      <c r="A135" s="35"/>
      <c r="B135" s="23"/>
      <c r="C135" s="23"/>
      <c r="D13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5" s="22"/>
      <c r="F135" s="36"/>
    </row>
    <row r="136" spans="1:6" x14ac:dyDescent="0.35">
      <c r="A136" s="35"/>
      <c r="B136" s="23"/>
      <c r="C136" s="23"/>
      <c r="D13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6" s="22"/>
      <c r="F136" s="36"/>
    </row>
    <row r="137" spans="1:6" x14ac:dyDescent="0.35">
      <c r="A137" s="35"/>
      <c r="B137" s="23"/>
      <c r="C137" s="23"/>
      <c r="D13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7" s="22"/>
      <c r="F137" s="36"/>
    </row>
    <row r="138" spans="1:6" x14ac:dyDescent="0.35">
      <c r="A138" s="35"/>
      <c r="B138" s="23"/>
      <c r="C138" s="23"/>
      <c r="D13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8" s="22"/>
      <c r="F138" s="36"/>
    </row>
    <row r="139" spans="1:6" x14ac:dyDescent="0.35">
      <c r="A139" s="35"/>
      <c r="B139" s="23"/>
      <c r="C139" s="23"/>
      <c r="D13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39" s="22"/>
      <c r="F139" s="36"/>
    </row>
    <row r="140" spans="1:6" x14ac:dyDescent="0.35">
      <c r="A140" s="35"/>
      <c r="B140" s="23"/>
      <c r="C140" s="23"/>
      <c r="D14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0" s="22"/>
      <c r="F140" s="36"/>
    </row>
    <row r="141" spans="1:6" x14ac:dyDescent="0.35">
      <c r="A141" s="35"/>
      <c r="B141" s="23"/>
      <c r="C141" s="23"/>
      <c r="D14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1" s="22"/>
      <c r="F141" s="36"/>
    </row>
    <row r="142" spans="1:6" x14ac:dyDescent="0.35">
      <c r="A142" s="35"/>
      <c r="B142" s="23"/>
      <c r="C142" s="23"/>
      <c r="D14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2" s="22"/>
      <c r="F142" s="36"/>
    </row>
    <row r="143" spans="1:6" x14ac:dyDescent="0.35">
      <c r="A143" s="35"/>
      <c r="B143" s="23"/>
      <c r="C143" s="23"/>
      <c r="D14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3" s="22"/>
      <c r="F143" s="36"/>
    </row>
    <row r="144" spans="1:6" x14ac:dyDescent="0.35">
      <c r="A144" s="35"/>
      <c r="B144" s="23"/>
      <c r="C144" s="23"/>
      <c r="D14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4" s="22"/>
      <c r="F144" s="36"/>
    </row>
    <row r="145" spans="1:6" x14ac:dyDescent="0.35">
      <c r="A145" s="35"/>
      <c r="B145" s="23"/>
      <c r="C145" s="23"/>
      <c r="D14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5" s="22"/>
      <c r="F145" s="36"/>
    </row>
    <row r="146" spans="1:6" x14ac:dyDescent="0.35">
      <c r="A146" s="35"/>
      <c r="B146" s="23"/>
      <c r="C146" s="23"/>
      <c r="D14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6" s="22"/>
      <c r="F146" s="36"/>
    </row>
    <row r="147" spans="1:6" x14ac:dyDescent="0.35">
      <c r="A147" s="35"/>
      <c r="B147" s="23"/>
      <c r="C147" s="23"/>
      <c r="D14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7" s="22"/>
      <c r="F147" s="36"/>
    </row>
    <row r="148" spans="1:6" x14ac:dyDescent="0.35">
      <c r="A148" s="35"/>
      <c r="B148" s="23"/>
      <c r="C148" s="23"/>
      <c r="D14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8" s="22"/>
      <c r="F148" s="36"/>
    </row>
    <row r="149" spans="1:6" x14ac:dyDescent="0.35">
      <c r="A149" s="35"/>
      <c r="B149" s="23"/>
      <c r="C149" s="23"/>
      <c r="D14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49" s="22"/>
      <c r="F149" s="36"/>
    </row>
    <row r="150" spans="1:6" x14ac:dyDescent="0.35">
      <c r="A150" s="35"/>
      <c r="B150" s="23"/>
      <c r="C150" s="23"/>
      <c r="D15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0" s="22"/>
      <c r="F150" s="36"/>
    </row>
    <row r="151" spans="1:6" x14ac:dyDescent="0.35">
      <c r="A151" s="35"/>
      <c r="B151" s="23"/>
      <c r="C151" s="23"/>
      <c r="D15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1" s="22"/>
      <c r="F151" s="36"/>
    </row>
    <row r="152" spans="1:6" x14ac:dyDescent="0.35">
      <c r="A152" s="35"/>
      <c r="B152" s="23"/>
      <c r="C152" s="23"/>
      <c r="D15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2" s="22"/>
      <c r="F152" s="36"/>
    </row>
    <row r="153" spans="1:6" x14ac:dyDescent="0.35">
      <c r="A153" s="35"/>
      <c r="B153" s="23"/>
      <c r="C153" s="23"/>
      <c r="D15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3" s="22"/>
      <c r="F153" s="36"/>
    </row>
    <row r="154" spans="1:6" x14ac:dyDescent="0.35">
      <c r="A154" s="35"/>
      <c r="B154" s="23"/>
      <c r="C154" s="23"/>
      <c r="D15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4" s="22"/>
      <c r="F154" s="36"/>
    </row>
    <row r="155" spans="1:6" x14ac:dyDescent="0.35">
      <c r="A155" s="35"/>
      <c r="B155" s="23"/>
      <c r="C155" s="23"/>
      <c r="D15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5" s="22"/>
      <c r="F155" s="36"/>
    </row>
    <row r="156" spans="1:6" x14ac:dyDescent="0.35">
      <c r="A156" s="35"/>
      <c r="B156" s="23"/>
      <c r="C156" s="23"/>
      <c r="D15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6" s="22"/>
      <c r="F156" s="36"/>
    </row>
    <row r="157" spans="1:6" x14ac:dyDescent="0.35">
      <c r="A157" s="35"/>
      <c r="B157" s="23"/>
      <c r="C157" s="23"/>
      <c r="D15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7" s="22"/>
      <c r="F157" s="36"/>
    </row>
    <row r="158" spans="1:6" x14ac:dyDescent="0.35">
      <c r="A158" s="35"/>
      <c r="B158" s="23"/>
      <c r="C158" s="23"/>
      <c r="D15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8" s="22"/>
      <c r="F158" s="36"/>
    </row>
    <row r="159" spans="1:6" x14ac:dyDescent="0.35">
      <c r="A159" s="35"/>
      <c r="B159" s="23"/>
      <c r="C159" s="23"/>
      <c r="D15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59" s="22"/>
      <c r="F159" s="36"/>
    </row>
    <row r="160" spans="1:6" x14ac:dyDescent="0.35">
      <c r="A160" s="35"/>
      <c r="B160" s="23"/>
      <c r="C160" s="23"/>
      <c r="D16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0" s="22"/>
      <c r="F160" s="36"/>
    </row>
    <row r="161" spans="1:6" x14ac:dyDescent="0.35">
      <c r="A161" s="35"/>
      <c r="B161" s="23"/>
      <c r="C161" s="23"/>
      <c r="D16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1" s="22"/>
      <c r="F161" s="36"/>
    </row>
    <row r="162" spans="1:6" x14ac:dyDescent="0.35">
      <c r="A162" s="35"/>
      <c r="B162" s="23"/>
      <c r="C162" s="23"/>
      <c r="D16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2" s="22"/>
      <c r="F162" s="36"/>
    </row>
    <row r="163" spans="1:6" x14ac:dyDescent="0.35">
      <c r="A163" s="35"/>
      <c r="B163" s="23"/>
      <c r="C163" s="23"/>
      <c r="D16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3" s="22"/>
      <c r="F163" s="36"/>
    </row>
    <row r="164" spans="1:6" x14ac:dyDescent="0.35">
      <c r="A164" s="35"/>
      <c r="B164" s="23"/>
      <c r="C164" s="23"/>
      <c r="D16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4" s="22"/>
      <c r="F164" s="36"/>
    </row>
    <row r="165" spans="1:6" x14ac:dyDescent="0.35">
      <c r="A165" s="35"/>
      <c r="B165" s="23"/>
      <c r="C165" s="23"/>
      <c r="D16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5" s="22"/>
      <c r="F165" s="36"/>
    </row>
    <row r="166" spans="1:6" x14ac:dyDescent="0.35">
      <c r="A166" s="35"/>
      <c r="B166" s="23"/>
      <c r="C166" s="23"/>
      <c r="D16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6" s="22"/>
      <c r="F166" s="36"/>
    </row>
    <row r="167" spans="1:6" x14ac:dyDescent="0.35">
      <c r="A167" s="35"/>
      <c r="B167" s="23"/>
      <c r="C167" s="23"/>
      <c r="D16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7" s="22"/>
      <c r="F217" s="36"/>
    </row>
    <row r="218" spans="1:6" x14ac:dyDescent="0.35">
      <c r="A218" s="35"/>
      <c r="B218" s="23"/>
      <c r="C218" s="23"/>
      <c r="D21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8" s="22"/>
      <c r="F218" s="36"/>
    </row>
    <row r="219" spans="1:6" x14ac:dyDescent="0.35">
      <c r="A219" s="35"/>
      <c r="B219" s="23"/>
      <c r="C219" s="23"/>
      <c r="D219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19" s="22"/>
      <c r="F219" s="36"/>
    </row>
    <row r="220" spans="1:6" x14ac:dyDescent="0.35">
      <c r="A220" s="35"/>
      <c r="B220" s="23"/>
      <c r="C220" s="23"/>
      <c r="D220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0" s="22"/>
      <c r="F220" s="36"/>
    </row>
    <row r="221" spans="1:6" x14ac:dyDescent="0.35">
      <c r="A221" s="35"/>
      <c r="B221" s="23"/>
      <c r="C221" s="23"/>
      <c r="D221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1" s="22"/>
      <c r="F221" s="36"/>
    </row>
    <row r="222" spans="1:6" x14ac:dyDescent="0.35">
      <c r="A222" s="35"/>
      <c r="B222" s="23"/>
      <c r="C222" s="23"/>
      <c r="D222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2" s="22"/>
      <c r="F222" s="36"/>
    </row>
    <row r="223" spans="1:6" x14ac:dyDescent="0.35">
      <c r="A223" s="35"/>
      <c r="B223" s="23"/>
      <c r="C223" s="23"/>
      <c r="D223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3" s="22"/>
      <c r="F223" s="36"/>
    </row>
    <row r="224" spans="1:6" x14ac:dyDescent="0.35">
      <c r="A224" s="35"/>
      <c r="B224" s="23"/>
      <c r="C224" s="23"/>
      <c r="D224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4" s="22"/>
      <c r="F224" s="36"/>
    </row>
    <row r="225" spans="1:6" x14ac:dyDescent="0.35">
      <c r="A225" s="35"/>
      <c r="B225" s="23"/>
      <c r="C225" s="23"/>
      <c r="D225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5" s="22"/>
      <c r="F225" s="36"/>
    </row>
    <row r="226" spans="1:6" x14ac:dyDescent="0.35">
      <c r="A226" s="35"/>
      <c r="B226" s="23"/>
      <c r="C226" s="23"/>
      <c r="D226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6" s="22"/>
      <c r="F226" s="36"/>
    </row>
    <row r="227" spans="1:6" x14ac:dyDescent="0.35">
      <c r="A227" s="35"/>
      <c r="B227" s="23"/>
      <c r="C227" s="23"/>
      <c r="D227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7" s="22"/>
      <c r="F227" s="36"/>
    </row>
    <row r="228" spans="1:6" x14ac:dyDescent="0.35">
      <c r="A228" s="37"/>
      <c r="B228" s="38"/>
      <c r="C228" s="38"/>
      <c r="D228" s="23">
        <f>Table234534568791112151416171819202122232425262728345678910113456789101112351113141719[[#This Row],[Cash]]+Table234534568791112151416171819202122232425262728345678910113456789101112351113141719[[#This Row],[Account Transfer]]</f>
        <v>0</v>
      </c>
      <c r="E228" s="39"/>
      <c r="F228" s="4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72B9-0EBB-40AB-A669-BCD510B24DEE}">
  <dimension ref="A1:V48"/>
  <sheetViews>
    <sheetView zoomScale="90" zoomScaleNormal="90" workbookViewId="0">
      <pane ySplit="1" topLeftCell="A17" activePane="bottomLeft" state="frozen"/>
      <selection activeCell="F34" sqref="F34"/>
      <selection pane="bottomLeft" activeCell="C32" sqref="C32:C33"/>
    </sheetView>
  </sheetViews>
  <sheetFormatPr defaultColWidth="26" defaultRowHeight="14.5" x14ac:dyDescent="0.35"/>
  <cols>
    <col min="1" max="1" width="27.906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309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 t="s">
        <v>15</v>
      </c>
      <c r="B2" s="7">
        <f>Table2345345687911121514161718192021222324252627283456789101134567891011124101215161820[[#This Row],[Profit]]-Table2345345687911121514161718192021222324252627283456789101134567891011124101215161820[[#This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>G2+H2+Table2345345687911121514161718192021222324252627283456789101134567891011124101215161820[[#This Row],[Expense]]</f>
        <v>0</v>
      </c>
      <c r="G2" s="7"/>
      <c r="H2" s="7"/>
      <c r="I2" s="7"/>
      <c r="J2" s="7"/>
      <c r="K2" s="7">
        <f>Table2345345687911121514161718192021222324252627283456789101134567891011124101215161820[[#This Row],[Account Transfer]]-Table2345345687911121514161718192021222324252627283456789101134567891011124101215161820[[#This Row],[Expense Online]]</f>
        <v>0</v>
      </c>
      <c r="L2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0</v>
      </c>
      <c r="M2" s="7">
        <f>Table2345345687911121514161718192021222324252627283456789101134567891011124101215161820[[#This Row],[Cash]]-Table2345345687911121514161718192021222324252627283456789101134567891011124101215161820[[#This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45931</v>
      </c>
      <c r="B3" s="7">
        <f>Table2345345687911121514161718192021222324252627283456789101134567891011124101215161820[[#This Row],[Profit]]-Table2345345687911121514161718192021222324252627283456789101134567891011124101215161820[[#This Row],[Mulbhag]]</f>
        <v>10874</v>
      </c>
      <c r="C3" s="43">
        <f>Table2345345687911121514161718192021222324252627283456789101134567891011124101215161820[[#This Row],[Profit]]/3</f>
        <v>5437</v>
      </c>
      <c r="D3" s="7">
        <f t="shared" si="0"/>
        <v>16311</v>
      </c>
      <c r="E3" s="7">
        <f t="shared" si="1"/>
        <v>38059</v>
      </c>
      <c r="F3" s="7">
        <f>G3+H3+Table2345345687911121514161718192021222324252627283456789101134567891011124101215161820[[#This Row],[Expense]]</f>
        <v>54370</v>
      </c>
      <c r="G3" s="7">
        <v>31000</v>
      </c>
      <c r="H3" s="7">
        <f t="shared" ref="H3" si="2">11250+11000</f>
        <v>22250</v>
      </c>
      <c r="I3" s="7">
        <v>1120</v>
      </c>
      <c r="J3" s="7">
        <v>34830</v>
      </c>
      <c r="K3" s="7">
        <f>Table2345345687911121514161718192021222324252627283456789101134567891011124101215161820[[#This Row],[Account Transfer]]-Table2345345687911121514161718192021222324252627283456789101134567891011124101215161820[[#This Row],[Expense Online]]</f>
        <v>-12580</v>
      </c>
      <c r="L3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13569</v>
      </c>
      <c r="M3" s="7">
        <f>Table2345345687911121514161718192021222324252627283456789101134567891011124101215161820[[#This Row],[Cash]]-Table2345345687911121514161718192021222324252627283456789101134567891011124101215161820[[#This Row],[Expense]]</f>
        <v>29880</v>
      </c>
      <c r="N3" s="45"/>
      <c r="O3" s="10">
        <f t="shared" ref="O3:O9" si="3">A3</f>
        <v>45931</v>
      </c>
      <c r="P3" s="11">
        <f>Q3/3</f>
        <v>5325</v>
      </c>
      <c r="Q3" s="11">
        <f>S3*0.3</f>
        <v>15975</v>
      </c>
      <c r="R3" s="11">
        <f t="shared" ref="R3:R9" si="4">S3-Q3</f>
        <v>37275</v>
      </c>
      <c r="S3" s="11">
        <f>T3+U3</f>
        <v>53250</v>
      </c>
      <c r="T3" s="11">
        <f t="shared" ref="T3:T9" si="5">VLOOKUP(O3,$A$1:$J$34,7,0)</f>
        <v>31000</v>
      </c>
      <c r="U3" s="11">
        <f t="shared" ref="U3:U9" si="6">VLOOKUP(O3,$A$1:$J$34,8,0)</f>
        <v>22250</v>
      </c>
      <c r="V3" s="11">
        <f t="shared" ref="V3:V9" si="7">VLOOKUP(O3,$A$1:$J$34,9,0)</f>
        <v>1120</v>
      </c>
    </row>
    <row r="4" spans="1:22" x14ac:dyDescent="0.35">
      <c r="A4" s="6">
        <v>45932</v>
      </c>
      <c r="B4" s="7">
        <f>Table2345345687911121514161718192021222324252627283456789101134567891011124101215161820[[#This Row],[Profit]]-Table2345345687911121514161718192021222324252627283456789101134567891011124101215161820[[#This Row],[Mulbhag]]</f>
        <v>19004.800000000003</v>
      </c>
      <c r="C4" s="43">
        <f>Table2345345687911121514161718192021222324252627283456789101134567891011124101215161820[[#This Row],[Profit]]/3</f>
        <v>9502.4</v>
      </c>
      <c r="D4" s="7">
        <f t="shared" si="0"/>
        <v>28507.200000000001</v>
      </c>
      <c r="E4" s="7">
        <f t="shared" si="1"/>
        <v>66516.800000000003</v>
      </c>
      <c r="F4" s="7">
        <f>G4+H4+Table2345345687911121514161718192021222324252627283456789101134567891011124101215161820[[#This Row],[Expense]]</f>
        <v>95024</v>
      </c>
      <c r="G4" s="7">
        <v>29000</v>
      </c>
      <c r="H4" s="7">
        <v>63854</v>
      </c>
      <c r="I4" s="7">
        <v>2170</v>
      </c>
      <c r="J4" s="7">
        <f>IFERROR(VLOOKUP(Table2345345687911121514161718192021222324252627283456789101134567891011124101215161820[[#This Row],[Date]],'Sept Expense'!H2:K249,4,0),0)</f>
        <v>0</v>
      </c>
      <c r="K4" s="7">
        <f>Table2345345687911121514161718192021222324252627283456789101134567891011124101215161820[[#This Row],[Account Transfer]]-Table2345345687911121514161718192021222324252627283456789101134567891011124101215161820[[#This Row],[Expense Online]]</f>
        <v>63854</v>
      </c>
      <c r="L4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-1677.2000000000044</v>
      </c>
      <c r="M4" s="7">
        <f>Table2345345687911121514161718192021222324252627283456789101134567891011124101215161820[[#This Row],[Cash]]-Table2345345687911121514161718192021222324252627283456789101134567891011124101215161820[[#This Row],[Expense]]</f>
        <v>26830</v>
      </c>
      <c r="N4" s="45"/>
      <c r="O4" s="8">
        <f t="shared" si="3"/>
        <v>45932</v>
      </c>
      <c r="P4" s="9">
        <f>Q4/3</f>
        <v>9285.4</v>
      </c>
      <c r="Q4" s="9">
        <f>S4*0.3</f>
        <v>27856.2</v>
      </c>
      <c r="R4" s="9">
        <f t="shared" si="4"/>
        <v>64997.8</v>
      </c>
      <c r="S4" s="9">
        <f t="shared" ref="S4:S9" si="8">T4+U4</f>
        <v>92854</v>
      </c>
      <c r="T4" s="9">
        <f t="shared" si="5"/>
        <v>29000</v>
      </c>
      <c r="U4" s="9">
        <f t="shared" si="6"/>
        <v>63854</v>
      </c>
      <c r="V4" s="9">
        <f t="shared" si="7"/>
        <v>2170</v>
      </c>
    </row>
    <row r="5" spans="1:22" x14ac:dyDescent="0.35">
      <c r="A5" s="6">
        <v>45933</v>
      </c>
      <c r="B5" s="7">
        <f>Table2345345687911121514161718192021222324252627283456789101134567891011124101215161820[[#This Row],[Profit]]-Table2345345687911121514161718192021222324252627283456789101134567891011124101215161820[[#This Row],[Mulbhag]]</f>
        <v>35849.399999999994</v>
      </c>
      <c r="C5" s="43">
        <f>Table2345345687911121514161718192021222324252627283456789101134567891011124101215161820[[#This Row],[Profit]]/3</f>
        <v>17924.7</v>
      </c>
      <c r="D5" s="7">
        <f t="shared" si="0"/>
        <v>53774.1</v>
      </c>
      <c r="E5" s="7">
        <f t="shared" si="1"/>
        <v>125472.9</v>
      </c>
      <c r="F5" s="7">
        <f>G5+H5+Table2345345687911121514161718192021222324252627283456789101134567891011124101215161820[[#This Row],[Expense]]</f>
        <v>179247</v>
      </c>
      <c r="G5" s="7">
        <v>100000</v>
      </c>
      <c r="H5" s="7">
        <v>76947</v>
      </c>
      <c r="I5" s="7">
        <v>2300</v>
      </c>
      <c r="J5" s="7">
        <f>IFERROR(VLOOKUP(Table2345345687911121514161718192021222324252627283456789101134567891011124101215161820[[#This Row],[Date]],'Sept Expense'!H3:K250,4,0),0)</f>
        <v>0</v>
      </c>
      <c r="K5" s="7">
        <f>Table2345345687911121514161718192021222324252627283456789101134567891011124101215161820[[#This Row],[Account Transfer]]-Table2345345687911121514161718192021222324252627283456789101134567891011124101215161820[[#This Row],[Expense Online]]</f>
        <v>76947</v>
      </c>
      <c r="L5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43925.900000000009</v>
      </c>
      <c r="M5" s="7">
        <f>Table2345345687911121514161718192021222324252627283456789101134567891011124101215161820[[#This Row],[Cash]]-Table2345345687911121514161718192021222324252627283456789101134567891011124101215161820[[#This Row],[Expense]]</f>
        <v>97700</v>
      </c>
      <c r="N5" s="45"/>
      <c r="O5" s="10">
        <f t="shared" si="3"/>
        <v>45933</v>
      </c>
      <c r="P5" s="11">
        <f t="shared" ref="P5:P9" si="9">Q5/3</f>
        <v>17694.7</v>
      </c>
      <c r="Q5" s="11">
        <f t="shared" ref="Q5:Q9" si="10">S5*0.3</f>
        <v>53084.1</v>
      </c>
      <c r="R5" s="11">
        <f t="shared" si="4"/>
        <v>123862.9</v>
      </c>
      <c r="S5" s="11">
        <f t="shared" si="8"/>
        <v>176947</v>
      </c>
      <c r="T5" s="11">
        <f t="shared" si="5"/>
        <v>100000</v>
      </c>
      <c r="U5" s="11">
        <f t="shared" si="6"/>
        <v>76947</v>
      </c>
      <c r="V5" s="11">
        <f t="shared" si="7"/>
        <v>2300</v>
      </c>
    </row>
    <row r="6" spans="1:22" x14ac:dyDescent="0.35">
      <c r="A6" s="6">
        <v>45934</v>
      </c>
      <c r="B6" s="7">
        <f>Table2345345687911121514161718192021222324252627283456789101134567891011124101215161820[[#This Row],[Profit]]-Table2345345687911121514161718192021222324252627283456789101134567891011124101215161820[[#This Row],[Mulbhag]]</f>
        <v>61090.8</v>
      </c>
      <c r="C6" s="43">
        <f>Table2345345687911121514161718192021222324252627283456789101134567891011124101215161820[[#This Row],[Profit]]/3</f>
        <v>30545.399999999998</v>
      </c>
      <c r="D6" s="7">
        <f t="shared" si="0"/>
        <v>91636.2</v>
      </c>
      <c r="E6" s="7">
        <f t="shared" si="1"/>
        <v>213817.8</v>
      </c>
      <c r="F6" s="7">
        <f>G6+H6+Table2345345687911121514161718192021222324252627283456789101134567891011124101215161820[[#This Row],[Expense]]</f>
        <v>305454</v>
      </c>
      <c r="G6" s="7">
        <v>103500</v>
      </c>
      <c r="H6" s="7">
        <v>126654</v>
      </c>
      <c r="I6" s="7">
        <v>75300</v>
      </c>
      <c r="J6" s="7">
        <f>IFERROR(VLOOKUP(Table2345345687911121514161718192021222324252627283456789101134567891011124101215161820[[#This Row],[Date]],'Sept Expense'!H4:K251,4,0),0)</f>
        <v>0</v>
      </c>
      <c r="K6" s="7">
        <f>Table2345345687911121514161718192021222324252627283456789101134567891011124101215161820[[#This Row],[Account Transfer]]-Table2345345687911121514161718192021222324252627283456789101134567891011124101215161820[[#This Row],[Expense Online]]</f>
        <v>126654</v>
      </c>
      <c r="L6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-63436.2</v>
      </c>
      <c r="M6" s="7">
        <f>Table2345345687911121514161718192021222324252627283456789101134567891011124101215161820[[#This Row],[Cash]]-Table2345345687911121514161718192021222324252627283456789101134567891011124101215161820[[#This Row],[Expense]]</f>
        <v>28200</v>
      </c>
      <c r="N6" s="45"/>
      <c r="O6" s="8">
        <f t="shared" si="3"/>
        <v>45934</v>
      </c>
      <c r="P6" s="9">
        <f t="shared" si="9"/>
        <v>23015.399999999998</v>
      </c>
      <c r="Q6" s="9">
        <f t="shared" si="10"/>
        <v>69046.2</v>
      </c>
      <c r="R6" s="9">
        <f t="shared" si="4"/>
        <v>161107.79999999999</v>
      </c>
      <c r="S6" s="9">
        <f t="shared" si="8"/>
        <v>230154</v>
      </c>
      <c r="T6" s="9">
        <f t="shared" si="5"/>
        <v>103500</v>
      </c>
      <c r="U6" s="9">
        <f t="shared" si="6"/>
        <v>126654</v>
      </c>
      <c r="V6" s="9">
        <f t="shared" si="7"/>
        <v>75300</v>
      </c>
    </row>
    <row r="7" spans="1:22" x14ac:dyDescent="0.35">
      <c r="A7" s="6">
        <v>45935</v>
      </c>
      <c r="B7" s="7">
        <f>Table2345345687911121514161718192021222324252627283456789101134567891011124101215161820[[#This Row],[Profit]]-Table2345345687911121514161718192021222324252627283456789101134567891011124101215161820[[#This Row],[Mulbhag]]</f>
        <v>41748</v>
      </c>
      <c r="C7" s="43">
        <f>Table2345345687911121514161718192021222324252627283456789101134567891011124101215161820[[#This Row],[Profit]]/3</f>
        <v>20874</v>
      </c>
      <c r="D7" s="7">
        <f t="shared" si="0"/>
        <v>62622</v>
      </c>
      <c r="E7" s="7">
        <f t="shared" si="1"/>
        <v>146118</v>
      </c>
      <c r="F7" s="7">
        <f>G7+H7+Table2345345687911121514161718192021222324252627283456789101134567891011124101215161820[[#This Row],[Expense]]</f>
        <v>208740</v>
      </c>
      <c r="G7" s="7">
        <v>134000</v>
      </c>
      <c r="H7" s="7">
        <v>73000</v>
      </c>
      <c r="I7" s="7">
        <f>1540+200</f>
        <v>1740</v>
      </c>
      <c r="J7" s="7">
        <f>IFERROR(VLOOKUP(Table2345345687911121514161718192021222324252627283456789101134567891011124101215161820[[#This Row],[Date]],'Sept Expense'!H5:K252,4,0),0)</f>
        <v>0</v>
      </c>
      <c r="K7" s="7">
        <f>Table2345345687911121514161718192021222324252627283456789101134567891011124101215161820[[#This Row],[Account Transfer]]-Table2345345687911121514161718192021222324252627283456789101134567891011124101215161820[[#This Row],[Expense Online]]</f>
        <v>73000</v>
      </c>
      <c r="L7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69638</v>
      </c>
      <c r="M7" s="7">
        <f>Table2345345687911121514161718192021222324252627283456789101134567891011124101215161820[[#This Row],[Cash]]-Table2345345687911121514161718192021222324252627283456789101134567891011124101215161820[[#This Row],[Expense]]</f>
        <v>132260</v>
      </c>
      <c r="N7" s="45"/>
      <c r="O7" s="10">
        <f t="shared" si="3"/>
        <v>45935</v>
      </c>
      <c r="P7" s="11">
        <f t="shared" si="9"/>
        <v>20700</v>
      </c>
      <c r="Q7" s="11">
        <f t="shared" si="10"/>
        <v>62100</v>
      </c>
      <c r="R7" s="11">
        <f t="shared" si="4"/>
        <v>144900</v>
      </c>
      <c r="S7" s="11">
        <f t="shared" si="8"/>
        <v>207000</v>
      </c>
      <c r="T7" s="11">
        <f t="shared" si="5"/>
        <v>134000</v>
      </c>
      <c r="U7" s="11">
        <f t="shared" si="6"/>
        <v>73000</v>
      </c>
      <c r="V7" s="11">
        <f t="shared" si="7"/>
        <v>1740</v>
      </c>
    </row>
    <row r="8" spans="1:22" x14ac:dyDescent="0.35">
      <c r="A8" s="6">
        <v>45936</v>
      </c>
      <c r="B8" s="7">
        <f>Table2345345687911121514161718192021222324252627283456789101134567891011124101215161820[[#This Row],[Profit]]-Table2345345687911121514161718192021222324252627283456789101134567891011124101215161820[[#This Row],[Mulbhag]]</f>
        <v>78531.200000000012</v>
      </c>
      <c r="C8" s="43">
        <f>Table2345345687911121514161718192021222324252627283456789101134567891011124101215161820[[#This Row],[Profit]]/3</f>
        <v>39265.599999999999</v>
      </c>
      <c r="D8" s="7">
        <f t="shared" si="0"/>
        <v>117796.8</v>
      </c>
      <c r="E8" s="7">
        <f t="shared" si="1"/>
        <v>274859.2</v>
      </c>
      <c r="F8" s="7">
        <f>G8+H8+Table2345345687911121514161718192021222324252627283456789101134567891011124101215161820[[#This Row],[Expense]]</f>
        <v>392656</v>
      </c>
      <c r="G8" s="7">
        <v>122500</v>
      </c>
      <c r="H8" s="7">
        <v>253156</v>
      </c>
      <c r="I8" s="7">
        <v>17000</v>
      </c>
      <c r="J8" s="7">
        <f>IFERROR(VLOOKUP(Table2345345687911121514161718192021222324252627283456789101134567891011124101215161820[[#This Row],[Date]],'Sept Expense'!H6:K253,4,0),0)</f>
        <v>0</v>
      </c>
      <c r="K8" s="7">
        <f>Table2345345687911121514161718192021222324252627283456789101134567891011124101215161820[[#This Row],[Account Transfer]]-Table2345345687911121514161718192021222324252627283456789101134567891011124101215161820[[#This Row],[Expense Online]]</f>
        <v>253156</v>
      </c>
      <c r="L8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-12296.800000000017</v>
      </c>
      <c r="M8" s="7">
        <f>Table2345345687911121514161718192021222324252627283456789101134567891011124101215161820[[#This Row],[Cash]]-Table2345345687911121514161718192021222324252627283456789101134567891011124101215161820[[#This Row],[Expense]]</f>
        <v>105500</v>
      </c>
      <c r="N8" s="45"/>
      <c r="O8" s="8">
        <f t="shared" si="3"/>
        <v>45936</v>
      </c>
      <c r="P8" s="9">
        <f t="shared" si="9"/>
        <v>37565.599999999999</v>
      </c>
      <c r="Q8" s="9">
        <f t="shared" si="10"/>
        <v>112696.8</v>
      </c>
      <c r="R8" s="9">
        <f t="shared" si="4"/>
        <v>262959.2</v>
      </c>
      <c r="S8" s="9">
        <f t="shared" si="8"/>
        <v>375656</v>
      </c>
      <c r="T8" s="9">
        <f t="shared" si="5"/>
        <v>122500</v>
      </c>
      <c r="U8" s="9">
        <f t="shared" si="6"/>
        <v>253156</v>
      </c>
      <c r="V8" s="9">
        <f t="shared" si="7"/>
        <v>17000</v>
      </c>
    </row>
    <row r="9" spans="1:22" x14ac:dyDescent="0.35">
      <c r="A9" s="6">
        <v>45937</v>
      </c>
      <c r="B9" s="7">
        <f>Table2345345687911121514161718192021222324252627283456789101134567891011124101215161820[[#This Row],[Profit]]-Table2345345687911121514161718192021222324252627283456789101134567891011124101215161820[[#This Row],[Mulbhag]]</f>
        <v>58261.2</v>
      </c>
      <c r="C9" s="43">
        <f>Table2345345687911121514161718192021222324252627283456789101134567891011124101215161820[[#This Row],[Profit]]/3</f>
        <v>29130.600000000002</v>
      </c>
      <c r="D9" s="7">
        <f t="shared" si="0"/>
        <v>87391.8</v>
      </c>
      <c r="E9" s="7">
        <f t="shared" si="1"/>
        <v>203914.2</v>
      </c>
      <c r="F9" s="7">
        <f>G9+H9+Table2345345687911121514161718192021222324252627283456789101134567891011124101215161820[[#This Row],[Expense]]</f>
        <v>291306</v>
      </c>
      <c r="G9" s="7">
        <v>139000</v>
      </c>
      <c r="H9" s="7">
        <f>46706+38000+50000</f>
        <v>134706</v>
      </c>
      <c r="I9" s="7">
        <v>17600</v>
      </c>
      <c r="J9" s="7">
        <f>1800+60000+4600+7200+7400+60700</f>
        <v>141700</v>
      </c>
      <c r="K9" s="7">
        <f>Table2345345687911121514161718192021222324252627283456789101134567891011124101215161820[[#This Row],[Account Transfer]]-Table2345345687911121514161718192021222324252627283456789101134567891011124101215161820[[#This Row],[Expense Online]]</f>
        <v>-6994</v>
      </c>
      <c r="L9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34008.199999999997</v>
      </c>
      <c r="M9" s="7">
        <f>Table2345345687911121514161718192021222324252627283456789101134567891011124101215161820[[#This Row],[Cash]]-Table2345345687911121514161718192021222324252627283456789101134567891011124101215161820[[#This Row],[Expense]]</f>
        <v>121400</v>
      </c>
      <c r="N9" s="45"/>
      <c r="O9" s="10">
        <f t="shared" si="3"/>
        <v>45937</v>
      </c>
      <c r="P9" s="11">
        <f t="shared" si="9"/>
        <v>27370.600000000002</v>
      </c>
      <c r="Q9" s="11">
        <f t="shared" si="10"/>
        <v>82111.8</v>
      </c>
      <c r="R9" s="11">
        <f t="shared" si="4"/>
        <v>191594.2</v>
      </c>
      <c r="S9" s="11">
        <f t="shared" si="8"/>
        <v>273706</v>
      </c>
      <c r="T9" s="11">
        <f t="shared" si="5"/>
        <v>139000</v>
      </c>
      <c r="U9" s="11">
        <f t="shared" si="6"/>
        <v>134706</v>
      </c>
      <c r="V9" s="11">
        <f t="shared" si="7"/>
        <v>17600</v>
      </c>
    </row>
    <row r="10" spans="1:22" x14ac:dyDescent="0.35">
      <c r="A10" s="6">
        <v>45938</v>
      </c>
      <c r="B10" s="7">
        <f>Table2345345687911121514161718192021222324252627283456789101134567891011124101215161820[[#This Row],[Profit]]-Table2345345687911121514161718192021222324252627283456789101134567891011124101215161820[[#This Row],[Mulbhag]]</f>
        <v>60625.2</v>
      </c>
      <c r="C10" s="43">
        <f>Table2345345687911121514161718192021222324252627283456789101134567891011124101215161820[[#This Row],[Profit]]/3</f>
        <v>30312.600000000002</v>
      </c>
      <c r="D10" s="7">
        <f t="shared" si="0"/>
        <v>90937.8</v>
      </c>
      <c r="E10" s="7">
        <f t="shared" si="1"/>
        <v>212188.2</v>
      </c>
      <c r="F10" s="7">
        <f>G10+H10+Table2345345687911121514161718192021222324252627283456789101134567891011124101215161820[[#This Row],[Expense]]</f>
        <v>303126</v>
      </c>
      <c r="G10" s="7">
        <v>180700</v>
      </c>
      <c r="H10" s="7">
        <f>80126+26700+9600</f>
        <v>116426</v>
      </c>
      <c r="I10" s="7">
        <v>6000</v>
      </c>
      <c r="J10" s="7">
        <f>IFERROR(VLOOKUP(Table2345345687911121514161718192021222324252627283456789101134567891011124101215161820[[#This Row],[Date]],'Sept Expense'!H8:K255,4,0),0)</f>
        <v>0</v>
      </c>
      <c r="K10" s="7">
        <f>Table2345345687911121514161718192021222324252627283456789101134567891011124101215161820[[#This Row],[Account Transfer]]-Table2345345687911121514161718192021222324252627283456789101134567891011124101215161820[[#This Row],[Expense Online]]</f>
        <v>116426</v>
      </c>
      <c r="L10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83762.2</v>
      </c>
      <c r="M10" s="7">
        <f>Table2345345687911121514161718192021222324252627283456789101134567891011124101215161820[[#This Row],[Cash]]-Table2345345687911121514161718192021222324252627283456789101134567891011124101215161820[[#This Row],[Expense]]</f>
        <v>174700</v>
      </c>
      <c r="N10" s="45"/>
      <c r="O10" s="12" t="s">
        <v>3</v>
      </c>
      <c r="P10" s="12">
        <f>SUM(P3:P9)</f>
        <v>140956.70000000001</v>
      </c>
      <c r="Q10" s="12">
        <f>SUM(Q3:Q9)</f>
        <v>422870.1</v>
      </c>
      <c r="R10" s="12">
        <f>SUM(R2:R9)</f>
        <v>986696.89999999991</v>
      </c>
      <c r="S10" s="12">
        <f>SUM(S2:S9)</f>
        <v>1409567</v>
      </c>
      <c r="T10" s="12">
        <f>SUM(T2:T9)</f>
        <v>659000</v>
      </c>
      <c r="U10" s="12">
        <f>SUM(U2:U9)</f>
        <v>750567</v>
      </c>
      <c r="V10" s="12">
        <f>SUM(V2:V9)</f>
        <v>117230</v>
      </c>
    </row>
    <row r="11" spans="1:22" x14ac:dyDescent="0.35">
      <c r="A11" s="6">
        <v>45939</v>
      </c>
      <c r="B11" s="7">
        <f>Table2345345687911121514161718192021222324252627283456789101134567891011124101215161820[[#This Row],[Profit]]-Table2345345687911121514161718192021222324252627283456789101134567891011124101215161820[[#This Row],[Mulbhag]]</f>
        <v>85948</v>
      </c>
      <c r="C11" s="43">
        <f>Table2345345687911121514161718192021222324252627283456789101134567891011124101215161820[[#This Row],[Profit]]/3</f>
        <v>42974</v>
      </c>
      <c r="D11" s="7">
        <f t="shared" si="0"/>
        <v>128922</v>
      </c>
      <c r="E11" s="7">
        <f t="shared" si="1"/>
        <v>300818</v>
      </c>
      <c r="F11" s="7">
        <f>G11+H11+Table2345345687911121514161718192021222324252627283456789101134567891011124101215161820[[#This Row],[Expense]]</f>
        <v>429740</v>
      </c>
      <c r="G11" s="7">
        <v>145500</v>
      </c>
      <c r="H11" s="7">
        <f>114610+84000+72000+7630</f>
        <v>278240</v>
      </c>
      <c r="I11" s="7">
        <v>6000</v>
      </c>
      <c r="J11" s="7">
        <f>IFERROR(VLOOKUP(Table2345345687911121514161718192021222324252627283456789101134567891011124101215161820[[#This Row],[Date]],'Sept Expense'!H9:K256,4,0),0)</f>
        <v>0</v>
      </c>
      <c r="K11" s="7">
        <f>Table2345345687911121514161718192021222324252627283456789101134567891011124101215161820[[#This Row],[Account Transfer]]-Table2345345687911121514161718192021222324252627283456789101134567891011124101215161820[[#This Row],[Expense Online]]</f>
        <v>278240</v>
      </c>
      <c r="L11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10578</v>
      </c>
      <c r="M11" s="7">
        <f>Table2345345687911121514161718192021222324252627283456789101134567891011124101215161820[[#This Row],[Cash]]-Table2345345687911121514161718192021222324252627283456789101134567891011124101215161820[[#This Row],[Expense]]</f>
        <v>139500</v>
      </c>
      <c r="N11" s="45"/>
      <c r="O11" s="12" t="s">
        <v>7</v>
      </c>
      <c r="P11" s="12"/>
      <c r="Q11" s="12">
        <f>Q10/3</f>
        <v>140956.69999999998</v>
      </c>
      <c r="R11" s="12"/>
      <c r="S11" s="12"/>
      <c r="T11" s="11"/>
      <c r="U11" s="11"/>
      <c r="V11" s="11"/>
    </row>
    <row r="12" spans="1:22" x14ac:dyDescent="0.35">
      <c r="A12" s="6">
        <v>45940</v>
      </c>
      <c r="B12" s="7">
        <f>Table2345345687911121514161718192021222324252627283456789101134567891011124101215161820[[#This Row],[Profit]]-Table2345345687911121514161718192021222324252627283456789101134567891011124101215161820[[#This Row],[Mulbhag]]</f>
        <v>57342.599999999991</v>
      </c>
      <c r="C12" s="43">
        <f>Table2345345687911121514161718192021222324252627283456789101134567891011124101215161820[[#This Row],[Profit]]/3</f>
        <v>28671.3</v>
      </c>
      <c r="D12" s="7">
        <f t="shared" si="0"/>
        <v>86013.9</v>
      </c>
      <c r="E12" s="7">
        <f t="shared" si="1"/>
        <v>200699.1</v>
      </c>
      <c r="F12" s="7">
        <f>G12+H12+Table2345345687911121514161718192021222324252627283456789101134567891011124101215161820[[#This Row],[Expense]]</f>
        <v>286713</v>
      </c>
      <c r="G12" s="7">
        <v>106500</v>
      </c>
      <c r="H12" s="7">
        <f>115787+54626+7800</f>
        <v>178213</v>
      </c>
      <c r="I12" s="7">
        <v>2000</v>
      </c>
      <c r="J12" s="7">
        <f>54626*0.06</f>
        <v>3277.56</v>
      </c>
      <c r="K12" s="7">
        <f>Table2345345687911121514161718192021222324252627283456789101134567891011124101215161820[[#This Row],[Account Transfer]]-Table2345345687911121514161718192021222324252627283456789101134567891011124101215161820[[#This Row],[Expense Online]]</f>
        <v>174935.44</v>
      </c>
      <c r="L12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18486.100000000006</v>
      </c>
      <c r="M12" s="7">
        <f>Table2345345687911121514161718192021222324252627283456789101134567891011124101215161820[[#This Row],[Cash]]-Table2345345687911121514161718192021222324252627283456789101134567891011124101215161820[[#This Row],[Expense]]</f>
        <v>104500</v>
      </c>
      <c r="N12" s="45"/>
    </row>
    <row r="13" spans="1:22" x14ac:dyDescent="0.35">
      <c r="A13" s="6">
        <v>45941</v>
      </c>
      <c r="B13" s="7">
        <f>Table2345345687911121514161718192021222324252627283456789101134567891011124101215161820[[#This Row],[Profit]]-Table2345345687911121514161718192021222324252627283456789101134567891011124101215161820[[#This Row],[Mulbhag]]</f>
        <v>70472.200000000012</v>
      </c>
      <c r="C13" s="43">
        <f>Table2345345687911121514161718192021222324252627283456789101134567891011124101215161820[[#This Row],[Profit]]/3</f>
        <v>35236.1</v>
      </c>
      <c r="D13" s="7">
        <f t="shared" si="0"/>
        <v>105708.3</v>
      </c>
      <c r="E13" s="7">
        <f t="shared" si="1"/>
        <v>246652.7</v>
      </c>
      <c r="F13" s="7">
        <f>G13+H13+Table2345345687911121514161718192021222324252627283456789101134567891011124101215161820[[#This Row],[Expense]]</f>
        <v>352361</v>
      </c>
      <c r="G13" s="7">
        <v>209800</v>
      </c>
      <c r="H13" s="7">
        <f>105121+19120+12420+3900</f>
        <v>140561</v>
      </c>
      <c r="I13" s="7">
        <v>2000</v>
      </c>
      <c r="J13" s="7">
        <f>IFERROR(VLOOKUP(Table2345345687911121514161718192021222324252627283456789101134567891011124101215161820[[#This Row],[Date]],'Sept Expense'!H11:K258,4,0),0)</f>
        <v>0</v>
      </c>
      <c r="K13" s="7">
        <f>Table2345345687911121514161718192021222324252627283456789101134567891011124101215161820[[#This Row],[Account Transfer]]-Table2345345687911121514161718192021222324252627283456789101134567891011124101215161820[[#This Row],[Expense Online]]</f>
        <v>140561</v>
      </c>
      <c r="L13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102091.69999999998</v>
      </c>
      <c r="M13" s="7">
        <f>Table2345345687911121514161718192021222324252627283456789101134567891011124101215161820[[#This Row],[Cash]]-Table2345345687911121514161718192021222324252627283456789101134567891011124101215161820[[#This Row],[Expense]]</f>
        <v>207800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45942</v>
      </c>
      <c r="B14" s="7">
        <f>Table2345345687911121514161718192021222324252627283456789101134567891011124101215161820[[#This Row],[Profit]]-Table2345345687911121514161718192021222324252627283456789101134567891011124101215161820[[#This Row],[Mulbhag]]</f>
        <v>75228.799999999988</v>
      </c>
      <c r="C14" s="43">
        <f>Table2345345687911121514161718192021222324252627283456789101134567891011124101215161820[[#This Row],[Profit]]/3</f>
        <v>37614.400000000001</v>
      </c>
      <c r="D14" s="7">
        <f t="shared" si="0"/>
        <v>112843.2</v>
      </c>
      <c r="E14" s="7">
        <f t="shared" si="1"/>
        <v>263300.8</v>
      </c>
      <c r="F14" s="7">
        <f>G14+H14+Table2345345687911121514161718192021222324252627283456789101134567891011124101215161820[[#This Row],[Expense]]</f>
        <v>376144</v>
      </c>
      <c r="G14" s="7">
        <v>203000</v>
      </c>
      <c r="H14" s="7">
        <f>95241+18903+55800</f>
        <v>169944</v>
      </c>
      <c r="I14" s="7">
        <v>3200</v>
      </c>
      <c r="J14" s="7">
        <v>6000</v>
      </c>
      <c r="K14" s="7">
        <f>Table2345345687911121514161718192021222324252627283456789101134567891011124101215161820[[#This Row],[Account Transfer]]-Table2345345687911121514161718192021222324252627283456789101134567891011124101215161820[[#This Row],[Expense Online]]</f>
        <v>163944</v>
      </c>
      <c r="L14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86956.800000000017</v>
      </c>
      <c r="M14" s="7">
        <f>Table2345345687911121514161718192021222324252627283456789101134567891011124101215161820[[#This Row],[Cash]]-Table2345345687911121514161718192021222324252627283456789101134567891011124101215161820[[#This Row],[Expense]]</f>
        <v>199800</v>
      </c>
      <c r="N14" s="45"/>
      <c r="O14" s="10">
        <f t="shared" ref="O14:O20" si="11">A10</f>
        <v>45938</v>
      </c>
      <c r="P14" s="11">
        <f>Q14/3</f>
        <v>29712.600000000002</v>
      </c>
      <c r="Q14" s="11">
        <f>S14*0.3</f>
        <v>89137.8</v>
      </c>
      <c r="R14" s="11">
        <f t="shared" ref="R14:R20" si="12">S14-Q14</f>
        <v>207988.2</v>
      </c>
      <c r="S14" s="11">
        <f>T14+U14</f>
        <v>297126</v>
      </c>
      <c r="T14" s="11">
        <f t="shared" ref="T14:T20" si="13">VLOOKUP(O14,$A$1:$J$34,7,0)</f>
        <v>180700</v>
      </c>
      <c r="U14" s="11">
        <f t="shared" ref="U14:U20" si="14">VLOOKUP(O14,$A$1:$J$34,8,0)</f>
        <v>116426</v>
      </c>
      <c r="V14" s="11">
        <f t="shared" ref="V14:V20" si="15">VLOOKUP(O14,$A$1:$J$34,9,0)</f>
        <v>6000</v>
      </c>
    </row>
    <row r="15" spans="1:22" x14ac:dyDescent="0.35">
      <c r="A15" s="6">
        <v>45943</v>
      </c>
      <c r="B15" s="7">
        <f>Table2345345687911121514161718192021222324252627283456789101134567891011124101215161820[[#This Row],[Profit]]-Table2345345687911121514161718192021222324252627283456789101134567891011124101215161820[[#This Row],[Mulbhag]]</f>
        <v>49344.2</v>
      </c>
      <c r="C15" s="43">
        <f>Table2345345687911121514161718192021222324252627283456789101134567891011124101215161820[[#This Row],[Profit]]/3</f>
        <v>24672.100000000002</v>
      </c>
      <c r="D15" s="7">
        <f t="shared" si="0"/>
        <v>74016.3</v>
      </c>
      <c r="E15" s="7">
        <f t="shared" si="1"/>
        <v>172704.7</v>
      </c>
      <c r="F15" s="7">
        <f>G15+H15+Table2345345687911121514161718192021222324252627283456789101134567891011124101215161820[[#This Row],[Expense]]</f>
        <v>246721</v>
      </c>
      <c r="G15" s="7">
        <v>153000</v>
      </c>
      <c r="H15" s="7">
        <v>87321</v>
      </c>
      <c r="I15" s="7">
        <v>6400</v>
      </c>
      <c r="J15" s="7">
        <f>IFERROR(VLOOKUP(Table2345345687911121514161718192021222324252627283456789101134567891011124101215161820[[#This Row],[Date]],'Sept Expense'!H13:K260,4,0),0)</f>
        <v>0</v>
      </c>
      <c r="K15" s="7">
        <f>Table2345345687911121514161718192021222324252627283456789101134567891011124101215161820[[#This Row],[Account Transfer]]-Table2345345687911121514161718192021222324252627283456789101134567891011124101215161820[[#This Row],[Expense Online]]</f>
        <v>87321</v>
      </c>
      <c r="L15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72583.7</v>
      </c>
      <c r="M15" s="7">
        <f>Table2345345687911121514161718192021222324252627283456789101134567891011124101215161820[[#This Row],[Cash]]-Table2345345687911121514161718192021222324252627283456789101134567891011124101215161820[[#This Row],[Expense]]</f>
        <v>146600</v>
      </c>
      <c r="N15" s="45"/>
      <c r="O15" s="8">
        <f t="shared" si="11"/>
        <v>45939</v>
      </c>
      <c r="P15" s="9">
        <f>Q15/3</f>
        <v>42374</v>
      </c>
      <c r="Q15" s="9">
        <f>S15*0.3</f>
        <v>127122</v>
      </c>
      <c r="R15" s="9">
        <f t="shared" si="12"/>
        <v>296618</v>
      </c>
      <c r="S15" s="9">
        <f t="shared" ref="S15:S20" si="16">T15+U15</f>
        <v>423740</v>
      </c>
      <c r="T15" s="9">
        <f t="shared" si="13"/>
        <v>145500</v>
      </c>
      <c r="U15" s="9">
        <f t="shared" si="14"/>
        <v>278240</v>
      </c>
      <c r="V15" s="9">
        <f t="shared" si="15"/>
        <v>6000</v>
      </c>
    </row>
    <row r="16" spans="1:22" x14ac:dyDescent="0.35">
      <c r="A16" s="6">
        <v>45944</v>
      </c>
      <c r="B16" s="7">
        <f>Table2345345687911121514161718192021222324252627283456789101134567891011124101215161820[[#This Row],[Profit]]-Table2345345687911121514161718192021222324252627283456789101134567891011124101215161820[[#This Row],[Mulbhag]]</f>
        <v>52359.199999999997</v>
      </c>
      <c r="C16" s="110">
        <f>Table2345345687911121514161718192021222324252627283456789101134567891011124101215161820[[#This Row],[Profit]]/3</f>
        <v>26179.600000000002</v>
      </c>
      <c r="D16" s="7">
        <f t="shared" si="0"/>
        <v>78538.8</v>
      </c>
      <c r="E16" s="7">
        <f t="shared" si="1"/>
        <v>183257.2</v>
      </c>
      <c r="F16" s="7">
        <f>G16+H16+Table2345345687911121514161718192021222324252627283456789101134567891011124101215161820[[#This Row],[Expense]]</f>
        <v>261796</v>
      </c>
      <c r="G16" s="7">
        <v>124500</v>
      </c>
      <c r="H16" s="7">
        <f>118846+8250</f>
        <v>127096</v>
      </c>
      <c r="I16" s="7">
        <v>10200</v>
      </c>
      <c r="J16" s="7">
        <f>IFERROR(VLOOKUP(Table2345345687911121514161718192021222324252627283456789101134567891011124101215161820[[#This Row],[Date]],'Sept Expense'!H14:K261,4,0),0)</f>
        <v>0</v>
      </c>
      <c r="K16" s="7">
        <f>Table2345345687911121514161718192021222324252627283456789101134567891011124101215161820[[#This Row],[Account Transfer]]-Table2345345687911121514161718192021222324252627283456789101134567891011124101215161820[[#This Row],[Expense Online]]</f>
        <v>127096</v>
      </c>
      <c r="L16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35761.199999999997</v>
      </c>
      <c r="M16" s="7">
        <f>Table2345345687911121514161718192021222324252627283456789101134567891011124101215161820[[#This Row],[Cash]]-Table2345345687911121514161718192021222324252627283456789101134567891011124101215161820[[#This Row],[Expense]]</f>
        <v>114300</v>
      </c>
      <c r="N16" s="45"/>
      <c r="O16" s="10">
        <f t="shared" si="11"/>
        <v>45940</v>
      </c>
      <c r="P16" s="11">
        <f t="shared" ref="P16:P20" si="17">Q16/3</f>
        <v>28471.3</v>
      </c>
      <c r="Q16" s="11">
        <f t="shared" ref="Q16:Q20" si="18">S16*0.3</f>
        <v>85413.9</v>
      </c>
      <c r="R16" s="11">
        <f t="shared" si="12"/>
        <v>199299.1</v>
      </c>
      <c r="S16" s="11">
        <f t="shared" si="16"/>
        <v>284713</v>
      </c>
      <c r="T16" s="11">
        <f t="shared" si="13"/>
        <v>106500</v>
      </c>
      <c r="U16" s="11">
        <f t="shared" si="14"/>
        <v>178213</v>
      </c>
      <c r="V16" s="11">
        <f t="shared" si="15"/>
        <v>2000</v>
      </c>
    </row>
    <row r="17" spans="1:22" x14ac:dyDescent="0.35">
      <c r="A17" s="6">
        <v>45945</v>
      </c>
      <c r="B17" s="7">
        <f>Table2345345687911121514161718192021222324252627283456789101134567891011124101215161820[[#This Row],[Profit]]-Table2345345687911121514161718192021222324252627283456789101134567891011124101215161820[[#This Row],[Mulbhag]]</f>
        <v>40800.199999999997</v>
      </c>
      <c r="C17" s="110">
        <f>Table2345345687911121514161718192021222324252627283456789101134567891011124101215161820[[#This Row],[Profit]]/3</f>
        <v>20400.099999999999</v>
      </c>
      <c r="D17" s="7">
        <f t="shared" si="0"/>
        <v>61200.299999999996</v>
      </c>
      <c r="E17" s="7">
        <f t="shared" si="1"/>
        <v>142800.70000000001</v>
      </c>
      <c r="F17" s="7">
        <f>G17+H17+Table2345345687911121514161718192021222324252627283456789101134567891011124101215161820[[#This Row],[Expense]]</f>
        <v>204001</v>
      </c>
      <c r="G17" s="7">
        <v>92500</v>
      </c>
      <c r="H17" s="7">
        <f>100001+10000</f>
        <v>110001</v>
      </c>
      <c r="I17" s="7">
        <v>1500</v>
      </c>
      <c r="J17" s="7">
        <f>IFERROR(VLOOKUP(Table2345345687911121514161718192021222324252627283456789101134567891011124101215161820[[#This Row],[Date]],'Sept Expense'!H15:K262,4,0),0)</f>
        <v>0</v>
      </c>
      <c r="K17" s="7">
        <f>Table2345345687911121514161718192021222324252627283456789101134567891011124101215161820[[#This Row],[Account Transfer]]-Table2345345687911121514161718192021222324252627283456789101134567891011124101215161820[[#This Row],[Expense Online]]</f>
        <v>110001</v>
      </c>
      <c r="L17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29799.699999999997</v>
      </c>
      <c r="M17" s="7">
        <f>Table2345345687911121514161718192021222324252627283456789101134567891011124101215161820[[#This Row],[Cash]]-Table2345345687911121514161718192021222324252627283456789101134567891011124101215161820[[#This Row],[Expense]]</f>
        <v>91000</v>
      </c>
      <c r="N17" s="45"/>
      <c r="O17" s="8">
        <f t="shared" si="11"/>
        <v>45941</v>
      </c>
      <c r="P17" s="9">
        <f t="shared" si="17"/>
        <v>35036.1</v>
      </c>
      <c r="Q17" s="9">
        <f t="shared" si="18"/>
        <v>105108.3</v>
      </c>
      <c r="R17" s="9">
        <f t="shared" si="12"/>
        <v>245252.7</v>
      </c>
      <c r="S17" s="9">
        <f t="shared" si="16"/>
        <v>350361</v>
      </c>
      <c r="T17" s="9">
        <f t="shared" si="13"/>
        <v>209800</v>
      </c>
      <c r="U17" s="9">
        <f t="shared" si="14"/>
        <v>140561</v>
      </c>
      <c r="V17" s="9">
        <f t="shared" si="15"/>
        <v>2000</v>
      </c>
    </row>
    <row r="18" spans="1:22" x14ac:dyDescent="0.35">
      <c r="A18" s="6">
        <v>45946</v>
      </c>
      <c r="B18" s="7">
        <f>Table2345345687911121514161718192021222324252627283456789101134567891011124101215161820[[#This Row],[Profit]]-Table2345345687911121514161718192021222324252627283456789101134567891011124101215161820[[#This Row],[Mulbhag]]</f>
        <v>56241</v>
      </c>
      <c r="C18" s="110">
        <f>Table2345345687911121514161718192021222324252627283456789101134567891011124101215161820[[#This Row],[Profit]]/3</f>
        <v>28120.5</v>
      </c>
      <c r="D18" s="7">
        <f t="shared" si="0"/>
        <v>84361.5</v>
      </c>
      <c r="E18" s="7">
        <f t="shared" si="1"/>
        <v>196843.5</v>
      </c>
      <c r="F18" s="7">
        <f>G18+H18+Table2345345687911121514161718192021222324252627283456789101134567891011124101215161820[[#This Row],[Expense]]</f>
        <v>281205</v>
      </c>
      <c r="G18" s="7">
        <f>105000</f>
        <v>105000</v>
      </c>
      <c r="H18" s="7">
        <f>58385+12320+100000</f>
        <v>170705</v>
      </c>
      <c r="I18" s="7">
        <v>5500</v>
      </c>
      <c r="J18" s="7">
        <f>IFERROR(VLOOKUP(Table2345345687911121514161718192021222324252627283456789101134567891011124101215161820[[#This Row],[Date]],'Sept Expense'!H16:K263,4,0),0)</f>
        <v>0</v>
      </c>
      <c r="K18" s="7">
        <f>Table2345345687911121514161718192021222324252627283456789101134567891011124101215161820[[#This Row],[Account Transfer]]-Table2345345687911121514161718192021222324252627283456789101134567891011124101215161820[[#This Row],[Expense Online]]</f>
        <v>170705</v>
      </c>
      <c r="L18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15138.5</v>
      </c>
      <c r="M18" s="7">
        <f>Table2345345687911121514161718192021222324252627283456789101134567891011124101215161820[[#This Row],[Cash]]-Table2345345687911121514161718192021222324252627283456789101134567891011124101215161820[[#This Row],[Expense]]</f>
        <v>99500</v>
      </c>
      <c r="N18" s="45"/>
      <c r="O18" s="10">
        <f t="shared" si="11"/>
        <v>45942</v>
      </c>
      <c r="P18" s="11">
        <f t="shared" si="17"/>
        <v>37294.400000000001</v>
      </c>
      <c r="Q18" s="11">
        <f t="shared" si="18"/>
        <v>111883.2</v>
      </c>
      <c r="R18" s="11">
        <f t="shared" si="12"/>
        <v>261060.8</v>
      </c>
      <c r="S18" s="11">
        <f t="shared" si="16"/>
        <v>372944</v>
      </c>
      <c r="T18" s="11">
        <f t="shared" si="13"/>
        <v>203000</v>
      </c>
      <c r="U18" s="11">
        <f t="shared" si="14"/>
        <v>169944</v>
      </c>
      <c r="V18" s="11">
        <f t="shared" si="15"/>
        <v>3200</v>
      </c>
    </row>
    <row r="19" spans="1:22" x14ac:dyDescent="0.35">
      <c r="A19" s="6">
        <v>45947</v>
      </c>
      <c r="B19" s="7">
        <f>Table2345345687911121514161718192021222324252627283456789101134567891011124101215161820[[#This Row],[Profit]]-Table2345345687911121514161718192021222324252627283456789101134567891011124101215161820[[#This Row],[Mulbhag]]</f>
        <v>31355</v>
      </c>
      <c r="C19" s="110">
        <f>Table2345345687911121514161718192021222324252627283456789101134567891011124101215161820[[#This Row],[Profit]]/3</f>
        <v>15677.5</v>
      </c>
      <c r="D19" s="7">
        <f t="shared" si="0"/>
        <v>47032.5</v>
      </c>
      <c r="E19" s="7">
        <f t="shared" si="1"/>
        <v>109742.5</v>
      </c>
      <c r="F19" s="7">
        <f>G19+H19+Table2345345687911121514161718192021222324252627283456789101134567891011124101215161820[[#This Row],[Expense]]</f>
        <v>156775</v>
      </c>
      <c r="G19" s="7">
        <v>70000</v>
      </c>
      <c r="H19" s="7">
        <f>76755+6920</f>
        <v>83675</v>
      </c>
      <c r="I19" s="7">
        <v>3100</v>
      </c>
      <c r="J19" s="7">
        <f>IFERROR(VLOOKUP(Table2345345687911121514161718192021222324252627283456789101134567891011124101215161820[[#This Row],[Date]],'Sept Expense'!H17:K264,4,0),0)</f>
        <v>0</v>
      </c>
      <c r="K19" s="7">
        <f>Table2345345687911121514161718192021222324252627283456789101134567891011124101215161820[[#This Row],[Account Transfer]]-Table2345345687911121514161718192021222324252627283456789101134567891011124101215161820[[#This Row],[Expense Online]]</f>
        <v>83675</v>
      </c>
      <c r="L19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19867.5</v>
      </c>
      <c r="M19" s="7">
        <f>Table2345345687911121514161718192021222324252627283456789101134567891011124101215161820[[#This Row],[Cash]]-Table2345345687911121514161718192021222324252627283456789101134567891011124101215161820[[#This Row],[Expense]]</f>
        <v>66900</v>
      </c>
      <c r="N19" s="45"/>
      <c r="O19" s="8">
        <f t="shared" si="11"/>
        <v>45943</v>
      </c>
      <c r="P19" s="9">
        <f t="shared" si="17"/>
        <v>24032.100000000002</v>
      </c>
      <c r="Q19" s="9">
        <f t="shared" si="18"/>
        <v>72096.3</v>
      </c>
      <c r="R19" s="9">
        <f t="shared" si="12"/>
        <v>168224.7</v>
      </c>
      <c r="S19" s="9">
        <f t="shared" si="16"/>
        <v>240321</v>
      </c>
      <c r="T19" s="9">
        <f t="shared" si="13"/>
        <v>153000</v>
      </c>
      <c r="U19" s="9">
        <f t="shared" si="14"/>
        <v>87321</v>
      </c>
      <c r="V19" s="9">
        <f t="shared" si="15"/>
        <v>6400</v>
      </c>
    </row>
    <row r="20" spans="1:22" x14ac:dyDescent="0.35">
      <c r="A20" s="6">
        <v>45948</v>
      </c>
      <c r="B20" s="7">
        <f>Table2345345687911121514161718192021222324252627283456789101134567891011124101215161820[[#This Row],[Profit]]-Table2345345687911121514161718192021222324252627283456789101134567891011124101215161820[[#This Row],[Mulbhag]]</f>
        <v>24450.400000000001</v>
      </c>
      <c r="C20" s="110">
        <f>Table2345345687911121514161718192021222324252627283456789101134567891011124101215161820[[#This Row],[Profit]]/3</f>
        <v>12225.199999999999</v>
      </c>
      <c r="D20" s="7">
        <f t="shared" si="0"/>
        <v>36675.599999999999</v>
      </c>
      <c r="E20" s="7">
        <f t="shared" si="1"/>
        <v>85576.4</v>
      </c>
      <c r="F20" s="7">
        <f>G20+H20+Table2345345687911121514161718192021222324252627283456789101134567891011124101215161820[[#This Row],[Expense]]</f>
        <v>122252</v>
      </c>
      <c r="G20" s="7">
        <v>64000</v>
      </c>
      <c r="H20" s="7">
        <v>51752</v>
      </c>
      <c r="I20" s="7">
        <v>6500</v>
      </c>
      <c r="J20" s="7">
        <f>IFERROR(VLOOKUP(Table2345345687911121514161718192021222324252627283456789101134567891011124101215161820[[#This Row],[Date]],'Sept Expense'!H18:K265,4,0),0)</f>
        <v>0</v>
      </c>
      <c r="K20" s="7">
        <f>Table2345345687911121514161718192021222324252627283456789101134567891011124101215161820[[#This Row],[Account Transfer]]-Table2345345687911121514161718192021222324252627283456789101134567891011124101215161820[[#This Row],[Expense Online]]</f>
        <v>51752</v>
      </c>
      <c r="L20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20824.400000000001</v>
      </c>
      <c r="M20" s="7">
        <f>Table2345345687911121514161718192021222324252627283456789101134567891011124101215161820[[#This Row],[Cash]]-Table2345345687911121514161718192021222324252627283456789101134567891011124101215161820[[#This Row],[Expense]]</f>
        <v>57500</v>
      </c>
      <c r="N20" s="45"/>
      <c r="O20" s="10">
        <f t="shared" si="11"/>
        <v>45944</v>
      </c>
      <c r="P20" s="11">
        <f t="shared" si="17"/>
        <v>25159.600000000002</v>
      </c>
      <c r="Q20" s="11">
        <f t="shared" si="18"/>
        <v>75478.8</v>
      </c>
      <c r="R20" s="11">
        <f t="shared" si="12"/>
        <v>176117.2</v>
      </c>
      <c r="S20" s="11">
        <f t="shared" si="16"/>
        <v>251596</v>
      </c>
      <c r="T20" s="11">
        <f t="shared" si="13"/>
        <v>124500</v>
      </c>
      <c r="U20" s="11">
        <f t="shared" si="14"/>
        <v>127096</v>
      </c>
      <c r="V20" s="11">
        <f t="shared" si="15"/>
        <v>10200</v>
      </c>
    </row>
    <row r="21" spans="1:22" x14ac:dyDescent="0.35">
      <c r="A21" s="6">
        <v>45949</v>
      </c>
      <c r="B21" s="7">
        <f>Table2345345687911121514161718192021222324252627283456789101134567891011124101215161820[[#This Row],[Profit]]-Table2345345687911121514161718192021222324252627283456789101134567891011124101215161820[[#This Row],[Mulbhag]]</f>
        <v>12264</v>
      </c>
      <c r="C21" s="110">
        <f>Table2345345687911121514161718192021222324252627283456789101134567891011124101215161820[[#This Row],[Profit]]/3</f>
        <v>6132</v>
      </c>
      <c r="D21" s="7">
        <f t="shared" si="0"/>
        <v>18396</v>
      </c>
      <c r="E21" s="7">
        <f t="shared" si="1"/>
        <v>42924</v>
      </c>
      <c r="F21" s="7">
        <f>G21+H21+Table2345345687911121514161718192021222324252627283456789101134567891011124101215161820[[#This Row],[Expense]]</f>
        <v>61320</v>
      </c>
      <c r="G21" s="7">
        <v>29700</v>
      </c>
      <c r="H21" s="7">
        <f>30120+1500</f>
        <v>31620</v>
      </c>
      <c r="I21" s="7"/>
      <c r="J21" s="7">
        <v>37900</v>
      </c>
      <c r="K21" s="7">
        <f>Table2345345687911121514161718192021222324252627283456789101134567891011124101215161820[[#This Row],[Account Transfer]]-Table2345345687911121514161718192021222324252627283456789101134567891011124101215161820[[#This Row],[Expense Online]]</f>
        <v>-6280</v>
      </c>
      <c r="L21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11304</v>
      </c>
      <c r="M21" s="7">
        <f>Table2345345687911121514161718192021222324252627283456789101134567891011124101215161820[[#This Row],[Cash]]-Table2345345687911121514161718192021222324252627283456789101134567891011124101215161820[[#This Row],[Expense]]</f>
        <v>29700</v>
      </c>
      <c r="N21" s="45"/>
      <c r="O21" s="12" t="s">
        <v>3</v>
      </c>
      <c r="P21" s="12">
        <f>SUM(P14:P20)</f>
        <v>222080.1</v>
      </c>
      <c r="Q21" s="12">
        <f t="shared" ref="Q21:V21" si="19">SUM(Q14:Q20)</f>
        <v>666240.30000000005</v>
      </c>
      <c r="R21" s="12">
        <f t="shared" si="19"/>
        <v>1554560.7</v>
      </c>
      <c r="S21" s="12">
        <f t="shared" si="19"/>
        <v>2220801</v>
      </c>
      <c r="T21" s="12">
        <f t="shared" si="19"/>
        <v>1123000</v>
      </c>
      <c r="U21" s="12">
        <f t="shared" si="19"/>
        <v>1097801</v>
      </c>
      <c r="V21" s="12">
        <f t="shared" si="19"/>
        <v>35800</v>
      </c>
    </row>
    <row r="22" spans="1:22" x14ac:dyDescent="0.35">
      <c r="A22" s="6">
        <v>45950</v>
      </c>
      <c r="B22" s="7">
        <f>Table2345345687911121514161718192021222324252627283456789101134567891011124101215161820[[#This Row],[Profit]]-Table2345345687911121514161718192021222324252627283456789101134567891011124101215161820[[#This Row],[Mulbhag]]</f>
        <v>1780</v>
      </c>
      <c r="C22" s="110">
        <f>Table2345345687911121514161718192021222324252627283456789101134567891011124101215161820[[#This Row],[Profit]]/3</f>
        <v>890</v>
      </c>
      <c r="D22" s="7">
        <f t="shared" si="0"/>
        <v>2670</v>
      </c>
      <c r="E22" s="7">
        <f t="shared" si="1"/>
        <v>6230</v>
      </c>
      <c r="F22" s="7">
        <f>G22+H22+Table2345345687911121514161718192021222324252627283456789101134567891011124101215161820[[#This Row],[Expense]]</f>
        <v>8900</v>
      </c>
      <c r="G22" s="7">
        <v>3000</v>
      </c>
      <c r="H22" s="7">
        <v>5900</v>
      </c>
      <c r="I22" s="7"/>
      <c r="J22" s="7">
        <v>128550</v>
      </c>
      <c r="K22" s="7">
        <f>Table2345345687911121514161718192021222324252627283456789101134567891011124101215161820[[#This Row],[Account Transfer]]-Table2345345687911121514161718192021222324252627283456789101134567891011124101215161820[[#This Row],[Expense Online]]</f>
        <v>-122650</v>
      </c>
      <c r="L22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330</v>
      </c>
      <c r="M22" s="7">
        <f>Table2345345687911121514161718192021222324252627283456789101134567891011124101215161820[[#This Row],[Cash]]-Table2345345687911121514161718192021222324252627283456789101134567891011124101215161820[[#This Row],[Expense]]</f>
        <v>3000</v>
      </c>
      <c r="N22" s="45"/>
      <c r="O22" s="12" t="s">
        <v>7</v>
      </c>
      <c r="P22" s="12"/>
      <c r="Q22" s="12">
        <f>Q21/3</f>
        <v>222080.1</v>
      </c>
      <c r="R22" s="12"/>
      <c r="S22" s="12">
        <f>R22+Q22</f>
        <v>222080.1</v>
      </c>
      <c r="T22" s="11"/>
      <c r="U22" s="11"/>
      <c r="V22" s="11"/>
    </row>
    <row r="23" spans="1:22" x14ac:dyDescent="0.35">
      <c r="A23" s="6">
        <v>45951</v>
      </c>
      <c r="B23" s="7">
        <f>Table2345345687911121514161718192021222324252627283456789101134567891011124101215161820[[#This Row],[Profit]]-Table2345345687911121514161718192021222324252627283456789101134567891011124101215161820[[#This Row],[Mulbhag]]</f>
        <v>6643</v>
      </c>
      <c r="C23" s="110">
        <f>Table2345345687911121514161718192021222324252627283456789101134567891011124101215161820[[#This Row],[Profit]]/3</f>
        <v>3321.5</v>
      </c>
      <c r="D23" s="7">
        <f t="shared" si="0"/>
        <v>9964.5</v>
      </c>
      <c r="E23" s="7">
        <f t="shared" si="1"/>
        <v>23250.5</v>
      </c>
      <c r="F23" s="7">
        <f>G23+H23+Table2345345687911121514161718192021222324252627283456789101134567891011124101215161820[[#This Row],[Expense]]</f>
        <v>33215</v>
      </c>
      <c r="G23" s="7">
        <v>8000</v>
      </c>
      <c r="H23" s="7">
        <f>14165+5250+4500</f>
        <v>23915</v>
      </c>
      <c r="I23" s="7">
        <v>1300</v>
      </c>
      <c r="J23" s="7">
        <f>11955-1300</f>
        <v>10655</v>
      </c>
      <c r="K23" s="7">
        <f>Table2345345687911121514161718192021222324252627283456789101134567891011124101215161820[[#This Row],[Account Transfer]]-Table2345345687911121514161718192021222324252627283456789101134567891011124101215161820[[#This Row],[Expense Online]]</f>
        <v>13260</v>
      </c>
      <c r="L23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-3264.5</v>
      </c>
      <c r="M23" s="7">
        <f>Table2345345687911121514161718192021222324252627283456789101134567891011124101215161820[[#This Row],[Cash]]-Table2345345687911121514161718192021222324252627283456789101134567891011124101215161820[[#This Row],[Expense]]</f>
        <v>6700</v>
      </c>
      <c r="N23" s="45"/>
    </row>
    <row r="24" spans="1:22" x14ac:dyDescent="0.35">
      <c r="A24" s="6">
        <v>45952</v>
      </c>
      <c r="B24" s="7">
        <f>Table2345345687911121514161718192021222324252627283456789101134567891011124101215161820[[#This Row],[Profit]]-Table2345345687911121514161718192021222324252627283456789101134567891011124101215161820[[#This Row],[Mulbhag]]</f>
        <v>294.39999999999998</v>
      </c>
      <c r="C24" s="110">
        <f>Table2345345687911121514161718192021222324252627283456789101134567891011124101215161820[[#This Row],[Profit]]/3</f>
        <v>147.19999999999999</v>
      </c>
      <c r="D24" s="7">
        <f t="shared" si="0"/>
        <v>441.59999999999997</v>
      </c>
      <c r="E24" s="7">
        <f t="shared" si="1"/>
        <v>1030.4000000000001</v>
      </c>
      <c r="F24" s="7">
        <f>G24+H24</f>
        <v>1472</v>
      </c>
      <c r="G24" s="7">
        <v>590</v>
      </c>
      <c r="H24" s="7">
        <v>882</v>
      </c>
      <c r="I24" s="7"/>
      <c r="J24" s="7">
        <v>2100</v>
      </c>
      <c r="K24" s="7">
        <f>Table2345345687911121514161718192021222324252627283456789101134567891011124101215161820[[#This Row],[Account Transfer]]-Table2345345687911121514161718192021222324252627283456789101134567891011124101215161820[[#This Row],[Expense Online]]</f>
        <v>-1218</v>
      </c>
      <c r="L24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148.40000000000003</v>
      </c>
      <c r="M24" s="7">
        <f>Table2345345687911121514161718192021222324252627283456789101134567891011124101215161820[[#This Row],[Cash]]-Table2345345687911121514161718192021222324252627283456789101134567891011124101215161820[[#This Row],[Expense]]</f>
        <v>590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45953</v>
      </c>
      <c r="B25" s="7">
        <f>Table2345345687911121514161718192021222324252627283456789101134567891011124101215161820[[#This Row],[Profit]]-Table2345345687911121514161718192021222324252627283456789101134567891011124101215161820[[#This Row],[Mulbhag]]</f>
        <v>7984.4</v>
      </c>
      <c r="C25" s="110">
        <f>Table2345345687911121514161718192021222324252627283456789101134567891011124101215161820[[#This Row],[Profit]]/3</f>
        <v>3992.2000000000003</v>
      </c>
      <c r="D25" s="7">
        <f t="shared" si="0"/>
        <v>11976.6</v>
      </c>
      <c r="E25" s="7">
        <f t="shared" si="1"/>
        <v>27945.4</v>
      </c>
      <c r="F25" s="7">
        <f>G25+H25+Table2345345687911121514161718192021222324252627283456789101134567891011124101215161820[[#This Row],[Expense]]</f>
        <v>39922</v>
      </c>
      <c r="G25" s="7">
        <v>8000</v>
      </c>
      <c r="H25" s="7">
        <v>31922</v>
      </c>
      <c r="I25" s="7"/>
      <c r="J25" s="7">
        <v>5050</v>
      </c>
      <c r="K25" s="7">
        <f>Table2345345687911121514161718192021222324252627283456789101134567891011124101215161820[[#This Row],[Account Transfer]]-Table2345345687911121514161718192021222324252627283456789101134567891011124101215161820[[#This Row],[Expense Online]]</f>
        <v>26872</v>
      </c>
      <c r="L25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-3976.6</v>
      </c>
      <c r="M25" s="7">
        <f>Table2345345687911121514161718192021222324252627283456789101134567891011124101215161820[[#This Row],[Cash]]-Table2345345687911121514161718192021222324252627283456789101134567891011124101215161820[[#This Row],[Expense]]</f>
        <v>8000</v>
      </c>
      <c r="N25" s="45"/>
      <c r="O25" s="10">
        <f t="shared" ref="O25:O31" si="20">A17</f>
        <v>45945</v>
      </c>
      <c r="P25" s="11">
        <f>Q25/3</f>
        <v>20250.099999999999</v>
      </c>
      <c r="Q25" s="11">
        <f>S25*0.3</f>
        <v>60750.299999999996</v>
      </c>
      <c r="R25" s="11">
        <f t="shared" ref="R25:R31" si="21">S25-Q25</f>
        <v>141750.70000000001</v>
      </c>
      <c r="S25" s="11">
        <f>T25+U25</f>
        <v>202501</v>
      </c>
      <c r="T25" s="11">
        <f t="shared" ref="T25:T31" si="22">VLOOKUP(O25,$A$1:$J$34,7,0)</f>
        <v>92500</v>
      </c>
      <c r="U25" s="11">
        <f t="shared" ref="U25:U31" si="23">VLOOKUP(O25,$A$1:$J$34,8,0)</f>
        <v>110001</v>
      </c>
      <c r="V25" s="11">
        <f t="shared" ref="V25:V31" si="24">VLOOKUP(O25,$A$1:$J$34,9,0)</f>
        <v>1500</v>
      </c>
    </row>
    <row r="26" spans="1:22" x14ac:dyDescent="0.35">
      <c r="A26" s="6">
        <v>45954</v>
      </c>
      <c r="B26" s="7">
        <f>Table2345345687911121514161718192021222324252627283456789101134567891011124101215161820[[#This Row],[Profit]]-Table2345345687911121514161718192021222324252627283456789101134567891011124101215161820[[#This Row],[Mulbhag]]</f>
        <v>20093.199999999997</v>
      </c>
      <c r="C26" s="43">
        <f>Table2345345687911121514161718192021222324252627283456789101134567891011124101215161820[[#This Row],[Profit]]/3</f>
        <v>10046.6</v>
      </c>
      <c r="D26" s="7">
        <f t="shared" si="0"/>
        <v>30139.8</v>
      </c>
      <c r="E26" s="7">
        <f t="shared" si="1"/>
        <v>70326.2</v>
      </c>
      <c r="F26" s="7">
        <f>G26+H26+Table2345345687911121514161718192021222324252627283456789101134567891011124101215161820[[#This Row],[Expense]]</f>
        <v>100466</v>
      </c>
      <c r="G26" s="7">
        <v>8300</v>
      </c>
      <c r="H26" s="7">
        <v>92166</v>
      </c>
      <c r="I26" s="7"/>
      <c r="J26" s="7">
        <v>106900</v>
      </c>
      <c r="K26" s="7">
        <f>Table2345345687911121514161718192021222324252627283456789101134567891011124101215161820[[#This Row],[Account Transfer]]-Table2345345687911121514161718192021222324252627283456789101134567891011124101215161820[[#This Row],[Expense Online]]</f>
        <v>-14734</v>
      </c>
      <c r="L26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-21839.799999999996</v>
      </c>
      <c r="M26" s="7">
        <f>Table2345345687911121514161718192021222324252627283456789101134567891011124101215161820[[#This Row],[Cash]]-Table2345345687911121514161718192021222324252627283456789101134567891011124101215161820[[#This Row],[Expense]]</f>
        <v>8300</v>
      </c>
      <c r="N26" s="45"/>
      <c r="O26" s="8">
        <f t="shared" si="20"/>
        <v>45946</v>
      </c>
      <c r="P26" s="9">
        <f>Q26/3</f>
        <v>27570.5</v>
      </c>
      <c r="Q26" s="9">
        <f>S26*0.3</f>
        <v>82711.5</v>
      </c>
      <c r="R26" s="9">
        <f t="shared" si="21"/>
        <v>192993.5</v>
      </c>
      <c r="S26" s="9">
        <f t="shared" ref="S26:S31" si="25">T26+U26</f>
        <v>275705</v>
      </c>
      <c r="T26" s="9">
        <f t="shared" si="22"/>
        <v>105000</v>
      </c>
      <c r="U26" s="9">
        <f t="shared" si="23"/>
        <v>170705</v>
      </c>
      <c r="V26" s="9">
        <f t="shared" si="24"/>
        <v>5500</v>
      </c>
    </row>
    <row r="27" spans="1:22" x14ac:dyDescent="0.35">
      <c r="A27" s="6">
        <v>45955</v>
      </c>
      <c r="B27" s="7">
        <f>Table2345345687911121514161718192021222324252627283456789101134567891011124101215161820[[#This Row],[Profit]]-Table2345345687911121514161718192021222324252627283456789101134567891011124101215161820[[#This Row],[Mulbhag]]</f>
        <v>7495.6</v>
      </c>
      <c r="C27" s="43">
        <f>Table2345345687911121514161718192021222324252627283456789101134567891011124101215161820[[#This Row],[Profit]]/3</f>
        <v>3747.7999999999997</v>
      </c>
      <c r="D27" s="7">
        <f t="shared" si="0"/>
        <v>11243.4</v>
      </c>
      <c r="E27" s="7">
        <f t="shared" si="1"/>
        <v>26234.6</v>
      </c>
      <c r="F27" s="7">
        <f>G27+H27+Table2345345687911121514161718192021222324252627283456789101134567891011124101215161820[[#This Row],[Expense]]</f>
        <v>37478</v>
      </c>
      <c r="G27" s="7">
        <v>6720</v>
      </c>
      <c r="H27" s="7">
        <f>12558+800+17400</f>
        <v>30758</v>
      </c>
      <c r="I27" s="7"/>
      <c r="J27" s="7">
        <v>200</v>
      </c>
      <c r="K27" s="7">
        <f>Table2345345687911121514161718192021222324252627283456789101134567891011124101215161820[[#This Row],[Account Transfer]]-Table2345345687911121514161718192021222324252627283456789101134567891011124101215161820[[#This Row],[Expense Online]]</f>
        <v>30558</v>
      </c>
      <c r="L27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-4523.3999999999996</v>
      </c>
      <c r="M27" s="7">
        <f>Table2345345687911121514161718192021222324252627283456789101134567891011124101215161820[[#This Row],[Cash]]-Table2345345687911121514161718192021222324252627283456789101134567891011124101215161820[[#This Row],[Expense]]</f>
        <v>6720</v>
      </c>
      <c r="N27" s="45"/>
      <c r="O27" s="10">
        <f t="shared" si="20"/>
        <v>45947</v>
      </c>
      <c r="P27" s="11">
        <f t="shared" ref="P27:P31" si="26">Q27/3</f>
        <v>15367.5</v>
      </c>
      <c r="Q27" s="11">
        <f t="shared" ref="Q27:Q31" si="27">S27*0.3</f>
        <v>46102.5</v>
      </c>
      <c r="R27" s="11">
        <f t="shared" si="21"/>
        <v>107572.5</v>
      </c>
      <c r="S27" s="11">
        <f t="shared" si="25"/>
        <v>153675</v>
      </c>
      <c r="T27" s="11">
        <f t="shared" si="22"/>
        <v>70000</v>
      </c>
      <c r="U27" s="11">
        <f t="shared" si="23"/>
        <v>83675</v>
      </c>
      <c r="V27" s="11">
        <f t="shared" si="24"/>
        <v>3100</v>
      </c>
    </row>
    <row r="28" spans="1:22" x14ac:dyDescent="0.35">
      <c r="A28" s="6">
        <v>45956</v>
      </c>
      <c r="B28" s="7">
        <f>Table2345345687911121514161718192021222324252627283456789101134567891011124101215161820[[#This Row],[Profit]]-Table2345345687911121514161718192021222324252627283456789101134567891011124101215161820[[#This Row],[Mulbhag]]</f>
        <v>1740</v>
      </c>
      <c r="C28" s="43">
        <f>Table2345345687911121514161718192021222324252627283456789101134567891011124101215161820[[#This Row],[Profit]]/3</f>
        <v>870</v>
      </c>
      <c r="D28" s="7">
        <f t="shared" si="0"/>
        <v>2610</v>
      </c>
      <c r="E28" s="7">
        <f t="shared" si="1"/>
        <v>6090</v>
      </c>
      <c r="F28" s="7">
        <f>G28+H28+Table2345345687911121514161718192021222324252627283456789101134567891011124101215161820[[#This Row],[Expense]]</f>
        <v>8700</v>
      </c>
      <c r="G28" s="7">
        <v>7460</v>
      </c>
      <c r="H28" s="7">
        <v>1240</v>
      </c>
      <c r="I28" s="7">
        <f>IFERROR(VLOOKUP(Table2345345687911121514161718192021222324252627283456789101134567891011124101215161820[[#This Row],[Date]],'Sept Expense'!H26:K273,3,0),0)</f>
        <v>0</v>
      </c>
      <c r="J28" s="7">
        <f>280+98200</f>
        <v>98480</v>
      </c>
      <c r="K28" s="7">
        <f>Table2345345687911121514161718192021222324252627283456789101134567891011124101215161820[[#This Row],[Account Transfer]]-Table2345345687911121514161718192021222324252627283456789101134567891011124101215161820[[#This Row],[Expense Online]]</f>
        <v>-97240</v>
      </c>
      <c r="L28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4850</v>
      </c>
      <c r="M28" s="7">
        <f>Table2345345687911121514161718192021222324252627283456789101134567891011124101215161820[[#This Row],[Cash]]-Table2345345687911121514161718192021222324252627283456789101134567891011124101215161820[[#This Row],[Expense]]</f>
        <v>7460</v>
      </c>
      <c r="N28" s="45"/>
      <c r="O28" s="8">
        <f t="shared" si="20"/>
        <v>45948</v>
      </c>
      <c r="P28" s="9">
        <f t="shared" si="26"/>
        <v>11575.199999999999</v>
      </c>
      <c r="Q28" s="9">
        <f t="shared" si="27"/>
        <v>34725.599999999999</v>
      </c>
      <c r="R28" s="9">
        <f t="shared" si="21"/>
        <v>81026.399999999994</v>
      </c>
      <c r="S28" s="9">
        <f t="shared" si="25"/>
        <v>115752</v>
      </c>
      <c r="T28" s="9">
        <f t="shared" si="22"/>
        <v>64000</v>
      </c>
      <c r="U28" s="9">
        <f t="shared" si="23"/>
        <v>51752</v>
      </c>
      <c r="V28" s="9">
        <f t="shared" si="24"/>
        <v>6500</v>
      </c>
    </row>
    <row r="29" spans="1:22" x14ac:dyDescent="0.35">
      <c r="A29" s="6">
        <v>45957</v>
      </c>
      <c r="B29" s="7">
        <f>Table2345345687911121514161718192021222324252627283456789101134567891011124101215161820[[#This Row],[Profit]]-Table2345345687911121514161718192021222324252627283456789101134567891011124101215161820[[#This Row],[Mulbhag]]</f>
        <v>5140</v>
      </c>
      <c r="C29" s="43">
        <f>Table2345345687911121514161718192021222324252627283456789101134567891011124101215161820[[#This Row],[Profit]]/3</f>
        <v>2570</v>
      </c>
      <c r="D29" s="7">
        <f t="shared" si="0"/>
        <v>7710</v>
      </c>
      <c r="E29" s="7">
        <f t="shared" si="1"/>
        <v>17990</v>
      </c>
      <c r="F29" s="7">
        <f>G29+H29+Table2345345687911121514161718192021222324252627283456789101134567891011124101215161820[[#This Row],[Expense]]</f>
        <v>25700</v>
      </c>
      <c r="G29" s="7">
        <v>4220</v>
      </c>
      <c r="H29" s="7">
        <v>21480</v>
      </c>
      <c r="I29" s="7">
        <f>IFERROR(VLOOKUP(Table2345345687911121514161718192021222324252627283456789101134567891011124101215161820[[#This Row],[Date]],'Sept Expense'!H27:K274,3,0),0)</f>
        <v>0</v>
      </c>
      <c r="J29" s="7">
        <f>12740+1100</f>
        <v>13840</v>
      </c>
      <c r="K29" s="7">
        <f>Table2345345687911121514161718192021222324252627283456789101134567891011124101215161820[[#This Row],[Account Transfer]]-Table2345345687911121514161718192021222324252627283456789101134567891011124101215161820[[#This Row],[Expense Online]]</f>
        <v>7640</v>
      </c>
      <c r="L29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-3490</v>
      </c>
      <c r="M29" s="7">
        <f>Table2345345687911121514161718192021222324252627283456789101134567891011124101215161820[[#This Row],[Cash]]-Table2345345687911121514161718192021222324252627283456789101134567891011124101215161820[[#This Row],[Expense]]</f>
        <v>4220</v>
      </c>
      <c r="N29" s="45"/>
      <c r="O29" s="10">
        <f t="shared" si="20"/>
        <v>45949</v>
      </c>
      <c r="P29" s="11">
        <f t="shared" si="26"/>
        <v>6132</v>
      </c>
      <c r="Q29" s="11">
        <f t="shared" si="27"/>
        <v>18396</v>
      </c>
      <c r="R29" s="11">
        <f t="shared" si="21"/>
        <v>42924</v>
      </c>
      <c r="S29" s="11">
        <f t="shared" si="25"/>
        <v>61320</v>
      </c>
      <c r="T29" s="11">
        <f t="shared" si="22"/>
        <v>29700</v>
      </c>
      <c r="U29" s="11">
        <f t="shared" si="23"/>
        <v>31620</v>
      </c>
      <c r="V29" s="11">
        <f t="shared" si="24"/>
        <v>0</v>
      </c>
    </row>
    <row r="30" spans="1:22" x14ac:dyDescent="0.35">
      <c r="A30" s="6">
        <v>45958</v>
      </c>
      <c r="B30" s="7">
        <f>Table2345345687911121514161718192021222324252627283456789101134567891011124101215161820[[#This Row],[Profit]]-Table2345345687911121514161718192021222324252627283456789101134567891011124101215161820[[#This Row],[Mulbhag]]</f>
        <v>10600.599999999999</v>
      </c>
      <c r="C30" s="43">
        <f>Table2345345687911121514161718192021222324252627283456789101134567891011124101215161820[[#This Row],[Profit]]/3</f>
        <v>5300.3</v>
      </c>
      <c r="D30" s="7">
        <f t="shared" si="0"/>
        <v>15900.9</v>
      </c>
      <c r="E30" s="7">
        <f t="shared" si="1"/>
        <v>37102.1</v>
      </c>
      <c r="F30" s="7">
        <f>G30+H30+Table2345345687911121514161718192021222324252627283456789101134567891011124101215161820[[#This Row],[Expense]]</f>
        <v>53003</v>
      </c>
      <c r="G30" s="7">
        <f>2880+5700</f>
        <v>8580</v>
      </c>
      <c r="H30" s="7">
        <v>44423</v>
      </c>
      <c r="I30" s="7">
        <f>IFERROR(VLOOKUP(Table2345345687911121514161718192021222324252627283456789101134567891011124101215161820[[#This Row],[Date]],'Sept Expense'!H28:K275,3,0),0)</f>
        <v>0</v>
      </c>
      <c r="J30" s="7">
        <f>1900+45680</f>
        <v>47580</v>
      </c>
      <c r="K30" s="7">
        <f>Table2345345687911121514161718192021222324252627283456789101134567891011124101215161820[[#This Row],[Account Transfer]]-Table2345345687911121514161718192021222324252627283456789101134567891011124101215161820[[#This Row],[Expense Online]]</f>
        <v>-3157</v>
      </c>
      <c r="L30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-7320.8999999999987</v>
      </c>
      <c r="M30" s="7">
        <f>Table2345345687911121514161718192021222324252627283456789101134567891011124101215161820[[#This Row],[Cash]]-Table2345345687911121514161718192021222324252627283456789101134567891011124101215161820[[#This Row],[Expense]]</f>
        <v>8580</v>
      </c>
      <c r="N30" s="45"/>
      <c r="O30" s="8">
        <f t="shared" si="20"/>
        <v>45950</v>
      </c>
      <c r="P30" s="9">
        <f t="shared" si="26"/>
        <v>890</v>
      </c>
      <c r="Q30" s="9">
        <f t="shared" si="27"/>
        <v>2670</v>
      </c>
      <c r="R30" s="9">
        <f t="shared" si="21"/>
        <v>6230</v>
      </c>
      <c r="S30" s="9">
        <f t="shared" si="25"/>
        <v>8900</v>
      </c>
      <c r="T30" s="9">
        <f t="shared" si="22"/>
        <v>3000</v>
      </c>
      <c r="U30" s="9">
        <f t="shared" si="23"/>
        <v>5900</v>
      </c>
      <c r="V30" s="9">
        <f t="shared" si="24"/>
        <v>0</v>
      </c>
    </row>
    <row r="31" spans="1:22" x14ac:dyDescent="0.35">
      <c r="A31" s="6">
        <v>45959</v>
      </c>
      <c r="B31" s="7">
        <f>Table2345345687911121514161718192021222324252627283456789101134567891011124101215161820[[#This Row],[Profit]]-Table2345345687911121514161718192021222324252627283456789101134567891011124101215161820[[#This Row],[Mulbhag]]</f>
        <v>6614</v>
      </c>
      <c r="C31" s="43">
        <f>Table2345345687911121514161718192021222324252627283456789101134567891011124101215161820[[#This Row],[Profit]]/3</f>
        <v>3307</v>
      </c>
      <c r="D31" s="7">
        <f t="shared" si="0"/>
        <v>9921</v>
      </c>
      <c r="E31" s="7">
        <f t="shared" si="1"/>
        <v>23149</v>
      </c>
      <c r="F31" s="7">
        <f>G31+H31+Table2345345687911121514161718192021222324252627283456789101134567891011124101215161820[[#This Row],[Expense]]</f>
        <v>33070</v>
      </c>
      <c r="G31" s="7">
        <v>7400</v>
      </c>
      <c r="H31" s="7">
        <v>25670</v>
      </c>
      <c r="I31" s="7">
        <f>IFERROR(VLOOKUP(Table2345345687911121514161718192021222324252627283456789101134567891011124101215161820[[#This Row],[Date]],'Sept Expense'!H29:K276,3,0),0)</f>
        <v>0</v>
      </c>
      <c r="J31" s="7">
        <v>1550</v>
      </c>
      <c r="K31" s="7">
        <f>Table2345345687911121514161718192021222324252627283456789101134567891011124101215161820[[#This Row],[Account Transfer]]-Table2345345687911121514161718192021222324252627283456789101134567891011124101215161820[[#This Row],[Expense Online]]</f>
        <v>24120</v>
      </c>
      <c r="L31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-2521</v>
      </c>
      <c r="M31" s="7">
        <f>Table2345345687911121514161718192021222324252627283456789101134567891011124101215161820[[#This Row],[Cash]]-Table2345345687911121514161718192021222324252627283456789101134567891011124101215161820[[#This Row],[Expense]]</f>
        <v>7400</v>
      </c>
      <c r="N31" s="45"/>
      <c r="O31" s="10">
        <f t="shared" si="20"/>
        <v>45951</v>
      </c>
      <c r="P31" s="11">
        <f t="shared" si="26"/>
        <v>3191.5</v>
      </c>
      <c r="Q31" s="11">
        <f t="shared" si="27"/>
        <v>9574.5</v>
      </c>
      <c r="R31" s="11">
        <f t="shared" si="21"/>
        <v>22340.5</v>
      </c>
      <c r="S31" s="11">
        <f t="shared" si="25"/>
        <v>31915</v>
      </c>
      <c r="T31" s="11">
        <f t="shared" si="22"/>
        <v>8000</v>
      </c>
      <c r="U31" s="11">
        <f t="shared" si="23"/>
        <v>23915</v>
      </c>
      <c r="V31" s="11">
        <f t="shared" si="24"/>
        <v>1300</v>
      </c>
    </row>
    <row r="32" spans="1:22" x14ac:dyDescent="0.35">
      <c r="A32" s="6">
        <v>45960</v>
      </c>
      <c r="B32" s="7">
        <f>Table2345345687911121514161718192021222324252627283456789101134567891011124101215161820[[#This Row],[Profit]]-Table2345345687911121514161718192021222324252627283456789101134567891011124101215161820[[#This Row],[Mulbhag]]</f>
        <v>10014</v>
      </c>
      <c r="C32" s="43">
        <f>Table2345345687911121514161718192021222324252627283456789101134567891011124101215161820[[#This Row],[Profit]]/3</f>
        <v>5007</v>
      </c>
      <c r="D32" s="7">
        <f t="shared" si="0"/>
        <v>15021</v>
      </c>
      <c r="E32" s="7">
        <f t="shared" si="1"/>
        <v>35049</v>
      </c>
      <c r="F32" s="7">
        <f>G32+H32+Table2345345687911121514161718192021222324252627283456789101134567891011124101215161820[[#This Row],[Expense]]</f>
        <v>50070</v>
      </c>
      <c r="G32" s="7">
        <v>15200</v>
      </c>
      <c r="H32" s="7">
        <v>34870</v>
      </c>
      <c r="I32" s="7">
        <f>IFERROR(VLOOKUP(Table2345345687911121514161718192021222324252627283456789101134567891011124101215161820[[#This Row],[Date]],'Sept Expense'!H30:K277,3,0),0)</f>
        <v>0</v>
      </c>
      <c r="J32" s="7">
        <v>113220</v>
      </c>
      <c r="K32" s="7">
        <f>Table2345345687911121514161718192021222324252627283456789101134567891011124101215161820[[#This Row],[Account Transfer]]-Table2345345687911121514161718192021222324252627283456789101134567891011124101215161820[[#This Row],[Expense Online]]</f>
        <v>-78350</v>
      </c>
      <c r="L32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179</v>
      </c>
      <c r="M32" s="7">
        <f>Table2345345687911121514161718192021222324252627283456789101134567891011124101215161820[[#This Row],[Cash]]-Table2345345687911121514161718192021222324252627283456789101134567891011124101215161820[[#This Row],[Expense]]</f>
        <v>15200</v>
      </c>
      <c r="N32" s="45"/>
      <c r="O32" s="12" t="s">
        <v>3</v>
      </c>
      <c r="P32" s="12">
        <f>SUM(P25:P31)</f>
        <v>84976.8</v>
      </c>
      <c r="Q32" s="11">
        <f t="shared" ref="Q32:V32" si="28">SUM(Q25:Q31)</f>
        <v>254930.4</v>
      </c>
      <c r="R32" s="11">
        <f t="shared" si="28"/>
        <v>594837.6</v>
      </c>
      <c r="S32" s="11">
        <f t="shared" si="28"/>
        <v>849768</v>
      </c>
      <c r="T32" s="11">
        <f t="shared" si="28"/>
        <v>372200</v>
      </c>
      <c r="U32" s="11">
        <f t="shared" si="28"/>
        <v>477568</v>
      </c>
      <c r="V32" s="11">
        <f t="shared" si="28"/>
        <v>17900</v>
      </c>
    </row>
    <row r="33" spans="1:22" x14ac:dyDescent="0.35">
      <c r="A33" s="6">
        <v>45961</v>
      </c>
      <c r="B33" s="7">
        <f>Table2345345687911121514161718192021222324252627283456789101134567891011124101215161820[[#This Row],[Profit]]-Table2345345687911121514161718192021222324252627283456789101134567891011124101215161820[[#This Row],[Mulbhag]]</f>
        <v>3912</v>
      </c>
      <c r="C33" s="43">
        <f>Table2345345687911121514161718192021222324252627283456789101134567891011124101215161820[[#This Row],[Profit]]/3</f>
        <v>1956</v>
      </c>
      <c r="D33" s="7">
        <f t="shared" si="0"/>
        <v>5868</v>
      </c>
      <c r="E33" s="7">
        <f t="shared" si="1"/>
        <v>13692</v>
      </c>
      <c r="F33" s="7">
        <f>G33+H33+Table2345345687911121514161718192021222324252627283456789101134567891011124101215161820[[#This Row],[Expense]]</f>
        <v>19560</v>
      </c>
      <c r="G33" s="7">
        <v>4000</v>
      </c>
      <c r="H33" s="7">
        <v>15560</v>
      </c>
      <c r="I33" s="7">
        <f>IFERROR(VLOOKUP(Table2345345687911121514161718192021222324252627283456789101134567891011124101215161820[[#This Row],[Date]],'Sept Expense'!H31:K278,3,0),0)</f>
        <v>0</v>
      </c>
      <c r="J33" s="7">
        <v>8000</v>
      </c>
      <c r="K33" s="7">
        <f>Table2345345687911121514161718192021222324252627283456789101134567891011124101215161820[[#This Row],[Account Transfer]]-Table2345345687911121514161718192021222324252627283456789101134567891011124101215161820[[#This Row],[Expense Online]]</f>
        <v>7560</v>
      </c>
      <c r="L33" s="7">
        <f>Table2345345687911121514161718192021222324252627283456789101134567891011124101215161820[[#This Row],[Cash]]-Table2345345687911121514161718192021222324252627283456789101134567891011124101215161820[[#This Row],[Mulbhag]]-Table2345345687911121514161718192021222324252627283456789101134567891011124101215161820[[#This Row],[Actual Profit]]-Table2345345687911121514161718192021222324252627283456789101134567891011124101215161820[[#This Row],[Expense]]</f>
        <v>-1868</v>
      </c>
      <c r="M33" s="7">
        <f>Table2345345687911121514161718192021222324252627283456789101134567891011124101215161820[[#This Row],[Cash]]-Table2345345687911121514161718192021222324252627283456789101134567891011124101215161820[[#This Row],[Expense]]</f>
        <v>4000</v>
      </c>
      <c r="N33" s="47"/>
      <c r="O33" s="12" t="s">
        <v>7</v>
      </c>
      <c r="P33" s="9"/>
      <c r="Q33" s="9">
        <f>Q32/3</f>
        <v>84976.8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SUBTOTAL(109,Table2345345687911121514161718192021222324252627283456789101134567891011124101215161820[Actual Profit])</f>
        <v>1004101.3999999998</v>
      </c>
      <c r="C34" s="16">
        <f>SUBTOTAL(109,Table2345345687911121514161718192021222324252627283456789101134567891011124101215161820[Mulbhag])</f>
        <v>502050.69999999995</v>
      </c>
      <c r="D34" s="16">
        <f>SUBTOTAL(109,Table2345345687911121514161718192021222324252627283456789101134567891011124101215161820[Profit])</f>
        <v>1506152.1000000003</v>
      </c>
      <c r="E34" s="16">
        <f>SUBTOTAL(109,Table2345345687911121514161718192021222324252627283456789101134567891011124101215161820[Profit])</f>
        <v>1506152.1000000003</v>
      </c>
      <c r="F34" s="16">
        <f>SUM(F3:F33)</f>
        <v>5020507</v>
      </c>
      <c r="G34" s="16">
        <f>SUBTOTAL(109,Table2345345687911121514161718192021222324252627283456789101134567891011124101215161820[Profit])</f>
        <v>1506152.1000000003</v>
      </c>
      <c r="H34" s="16">
        <f>SUBTOTAL(109,Table2345345687911121514161718192021222324252627283456789101134567891011124101215161820[Profit])</f>
        <v>1506152.1000000003</v>
      </c>
      <c r="I34" s="16">
        <f>SUBTOTAL(109,Table2345345687911121514161718192021222324252627283456789101134567891011124101215161820[Expense])</f>
        <v>170930</v>
      </c>
      <c r="J34" s="16">
        <f>SUBTOTAL(109,Table2345345687911121514161718192021222324252627283456789101134567891011124101215161820[Expense Online])</f>
        <v>759832.56</v>
      </c>
      <c r="K34" s="16">
        <f>SUBTOTAL(109,Table2345345687911121514161718192021222324252627283456789101134567891011124101215161820[x])</f>
        <v>1865074.44</v>
      </c>
      <c r="L34" s="16">
        <f>SUM(L5:L33)</f>
        <v>535696.1</v>
      </c>
      <c r="M34" s="16">
        <f>SUBTOTAL(109,Table2345345687911121514161718192021222324252627283456789101134567891011124101215161820[Actual Balance])</f>
        <v>2053740</v>
      </c>
    </row>
    <row r="35" spans="1:22" x14ac:dyDescent="0.35">
      <c r="A35" s="17"/>
      <c r="B35" s="18"/>
      <c r="C35" s="18"/>
      <c r="D35" s="18">
        <f>D34/3</f>
        <v>502050.70000000013</v>
      </c>
      <c r="E35" s="18"/>
      <c r="F35" s="18">
        <f>'Sept 2025'!F34</f>
        <v>956793</v>
      </c>
      <c r="G35" s="18">
        <f>F34*0.42</f>
        <v>2108612.94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10.000000000000004</v>
      </c>
      <c r="E36" s="18"/>
      <c r="F36" s="18">
        <f>F34+F35</f>
        <v>5977300</v>
      </c>
      <c r="G36" s="18">
        <f>G35/3</f>
        <v>702870.98</v>
      </c>
      <c r="H36" s="18"/>
      <c r="I36" s="18"/>
      <c r="J36" s="18"/>
      <c r="K36" s="18"/>
      <c r="L36" s="18"/>
      <c r="M36" s="18"/>
      <c r="O36" s="8">
        <f t="shared" ref="O36:O40" si="29">A24</f>
        <v>45952</v>
      </c>
      <c r="P36" s="11">
        <f>Q36/3</f>
        <v>147.19999999999999</v>
      </c>
      <c r="Q36" s="11">
        <f>S36*0.3</f>
        <v>441.59999999999997</v>
      </c>
      <c r="R36" s="11">
        <f t="shared" ref="R36:R41" si="30">S36-Q36</f>
        <v>1030.4000000000001</v>
      </c>
      <c r="S36" s="11">
        <f>T36+U36</f>
        <v>1472</v>
      </c>
      <c r="T36" s="11">
        <f t="shared" ref="T36:T41" si="31">VLOOKUP(O36,$A$1:$J$34,7,0)</f>
        <v>590</v>
      </c>
      <c r="U36" s="11">
        <f t="shared" ref="U36:U41" si="32">VLOOKUP(O36,$A$1:$J$34,8,0)</f>
        <v>882</v>
      </c>
      <c r="V36" s="11">
        <f t="shared" ref="V36:V41" si="33">VLOOKUP(O36,$A$1:$J$34,9,0)</f>
        <v>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9"/>
        <v>45953</v>
      </c>
      <c r="P37" s="9">
        <f>Q37/3</f>
        <v>3992.2000000000003</v>
      </c>
      <c r="Q37" s="9">
        <f>S37*0.3</f>
        <v>11976.6</v>
      </c>
      <c r="R37" s="9">
        <f t="shared" si="30"/>
        <v>27945.4</v>
      </c>
      <c r="S37" s="9">
        <f t="shared" ref="S37:S41" si="34">T37+U37</f>
        <v>39922</v>
      </c>
      <c r="T37" s="9">
        <f t="shared" si="31"/>
        <v>8000</v>
      </c>
      <c r="U37" s="9">
        <f t="shared" si="32"/>
        <v>31922</v>
      </c>
      <c r="V37" s="9">
        <f t="shared" si="33"/>
        <v>0</v>
      </c>
    </row>
    <row r="38" spans="1:22" x14ac:dyDescent="0.35">
      <c r="A38" s="20" t="str">
        <f>CONCATENATE(TEXT(O3,"DD-MMM-YYY")," to ",TEXT(O9,"DD-MMM-YYYY"))</f>
        <v>01-Oct-2025 to 07-Oct-2025</v>
      </c>
      <c r="B38" s="11">
        <f>D38-C38</f>
        <v>281913.40000000002</v>
      </c>
      <c r="C38" s="11">
        <f>D38/3</f>
        <v>140956.69999999998</v>
      </c>
      <c r="D38" s="11">
        <f>Q10</f>
        <v>422870.1</v>
      </c>
      <c r="E38" s="11">
        <f t="shared" ref="E38:I38" si="35">R10</f>
        <v>986696.89999999991</v>
      </c>
      <c r="F38" s="11">
        <f t="shared" si="35"/>
        <v>1409567</v>
      </c>
      <c r="G38" s="11">
        <f t="shared" si="35"/>
        <v>659000</v>
      </c>
      <c r="H38" s="11">
        <f t="shared" si="35"/>
        <v>750567</v>
      </c>
      <c r="I38" s="11">
        <f t="shared" si="35"/>
        <v>117230</v>
      </c>
      <c r="J38" s="11"/>
      <c r="K38" s="11"/>
      <c r="L38" s="11"/>
      <c r="M38" s="11"/>
      <c r="O38" s="10">
        <f t="shared" si="29"/>
        <v>45954</v>
      </c>
      <c r="P38" s="11">
        <f t="shared" ref="P38:P41" si="36">Q38/3</f>
        <v>10046.6</v>
      </c>
      <c r="Q38" s="11">
        <f t="shared" ref="Q38:Q41" si="37">S38*0.3</f>
        <v>30139.8</v>
      </c>
      <c r="R38" s="11">
        <f t="shared" si="30"/>
        <v>70326.2</v>
      </c>
      <c r="S38" s="11">
        <f t="shared" si="34"/>
        <v>100466</v>
      </c>
      <c r="T38" s="11">
        <f t="shared" si="31"/>
        <v>8300</v>
      </c>
      <c r="U38" s="11">
        <f t="shared" si="32"/>
        <v>92166</v>
      </c>
      <c r="V38" s="11">
        <f t="shared" si="33"/>
        <v>0</v>
      </c>
    </row>
    <row r="39" spans="1:22" x14ac:dyDescent="0.35">
      <c r="A39" s="20" t="str">
        <f>CONCATENATE(TEXT(O14,"DD-MMM-YYY")," to ",TEXT(O20,"DD-MMM-YYYY"))</f>
        <v>08-Oct-2025 to 14-Oct-2025</v>
      </c>
      <c r="B39" s="9">
        <f t="shared" ref="B39:B42" si="38">D39-C39</f>
        <v>444160.20000000007</v>
      </c>
      <c r="C39" s="9">
        <f t="shared" ref="C39:C42" si="39">D39/3</f>
        <v>222080.1</v>
      </c>
      <c r="D39" s="9">
        <f>Q21</f>
        <v>666240.30000000005</v>
      </c>
      <c r="E39" s="9">
        <f t="shared" ref="E39:I39" si="40">R21</f>
        <v>1554560.7</v>
      </c>
      <c r="F39" s="9">
        <f t="shared" si="40"/>
        <v>2220801</v>
      </c>
      <c r="G39" s="9">
        <f t="shared" si="40"/>
        <v>1123000</v>
      </c>
      <c r="H39" s="9">
        <f t="shared" si="40"/>
        <v>1097801</v>
      </c>
      <c r="I39" s="9">
        <f t="shared" si="40"/>
        <v>35800</v>
      </c>
      <c r="J39" s="9"/>
      <c r="K39" s="9"/>
      <c r="L39" s="9"/>
      <c r="M39" s="9"/>
      <c r="O39" s="8">
        <f t="shared" si="29"/>
        <v>45955</v>
      </c>
      <c r="P39" s="9">
        <f t="shared" si="36"/>
        <v>3747.7999999999997</v>
      </c>
      <c r="Q39" s="9">
        <f t="shared" si="37"/>
        <v>11243.4</v>
      </c>
      <c r="R39" s="9">
        <f t="shared" si="30"/>
        <v>26234.6</v>
      </c>
      <c r="S39" s="9">
        <f t="shared" si="34"/>
        <v>37478</v>
      </c>
      <c r="T39" s="9">
        <f t="shared" si="31"/>
        <v>6720</v>
      </c>
      <c r="U39" s="9">
        <f t="shared" si="32"/>
        <v>30758</v>
      </c>
      <c r="V39" s="9">
        <f t="shared" si="33"/>
        <v>0</v>
      </c>
    </row>
    <row r="40" spans="1:22" x14ac:dyDescent="0.35">
      <c r="A40" s="20" t="str">
        <f>CONCATENATE(TEXT(O25,"DD-MMM-YYY")," to ",TEXT(O31,"DD-MMM-YYYY"))</f>
        <v>15-Oct-2025 to 21-Oct-2025</v>
      </c>
      <c r="B40" s="11">
        <f t="shared" si="38"/>
        <v>169953.59999999998</v>
      </c>
      <c r="C40" s="11">
        <f t="shared" si="39"/>
        <v>84976.8</v>
      </c>
      <c r="D40" s="11">
        <f>Q32</f>
        <v>254930.4</v>
      </c>
      <c r="E40" s="11">
        <f t="shared" ref="E40:I40" si="41">R32</f>
        <v>594837.6</v>
      </c>
      <c r="F40" s="11">
        <f t="shared" si="41"/>
        <v>849768</v>
      </c>
      <c r="G40" s="11">
        <f t="shared" si="41"/>
        <v>372200</v>
      </c>
      <c r="H40" s="11">
        <f t="shared" si="41"/>
        <v>477568</v>
      </c>
      <c r="I40" s="11">
        <f t="shared" si="41"/>
        <v>17900</v>
      </c>
      <c r="J40" s="11"/>
      <c r="K40" s="11"/>
      <c r="L40" s="11"/>
      <c r="M40" s="11"/>
      <c r="O40" s="10">
        <f t="shared" si="29"/>
        <v>45956</v>
      </c>
      <c r="P40" s="11">
        <f t="shared" si="36"/>
        <v>870</v>
      </c>
      <c r="Q40" s="11">
        <f t="shared" si="37"/>
        <v>2610</v>
      </c>
      <c r="R40" s="11">
        <f t="shared" si="30"/>
        <v>6090</v>
      </c>
      <c r="S40" s="11">
        <f t="shared" si="34"/>
        <v>8700</v>
      </c>
      <c r="T40" s="11">
        <f t="shared" si="31"/>
        <v>7460</v>
      </c>
      <c r="U40" s="11">
        <f t="shared" si="32"/>
        <v>1240</v>
      </c>
      <c r="V40" s="11">
        <f t="shared" si="33"/>
        <v>0</v>
      </c>
    </row>
    <row r="41" spans="1:22" x14ac:dyDescent="0.35">
      <c r="A41" s="20" t="str">
        <f>CONCATENATE(TEXT(O36,"DD-MMM-YYY")," to ",TEXT(O41,"DD-MMM-YYYY"))</f>
        <v>22-Oct-2025 to 31-Oct-2025</v>
      </c>
      <c r="B41" s="9">
        <f t="shared" si="38"/>
        <v>41519.600000000006</v>
      </c>
      <c r="C41" s="9">
        <f t="shared" si="39"/>
        <v>20759.8</v>
      </c>
      <c r="D41" s="9">
        <f>Q42</f>
        <v>62279.4</v>
      </c>
      <c r="E41" s="9">
        <f t="shared" ref="E41:I41" si="42">R42</f>
        <v>145318.6</v>
      </c>
      <c r="F41" s="9">
        <f t="shared" si="42"/>
        <v>207598</v>
      </c>
      <c r="G41" s="9">
        <f t="shared" si="42"/>
        <v>35070</v>
      </c>
      <c r="H41" s="9">
        <f t="shared" si="42"/>
        <v>172528</v>
      </c>
      <c r="I41" s="9">
        <f t="shared" si="42"/>
        <v>0</v>
      </c>
      <c r="J41" s="9"/>
      <c r="K41" s="9"/>
      <c r="L41" s="9"/>
      <c r="M41" s="9"/>
      <c r="O41" s="8">
        <f>A33</f>
        <v>45961</v>
      </c>
      <c r="P41" s="9">
        <f t="shared" si="36"/>
        <v>1956</v>
      </c>
      <c r="Q41" s="9">
        <f t="shared" si="37"/>
        <v>5868</v>
      </c>
      <c r="R41" s="9">
        <f t="shared" si="30"/>
        <v>13692</v>
      </c>
      <c r="S41" s="9">
        <f t="shared" si="34"/>
        <v>19560</v>
      </c>
      <c r="T41" s="9">
        <f t="shared" si="31"/>
        <v>4000</v>
      </c>
      <c r="U41" s="9">
        <f t="shared" si="32"/>
        <v>15560</v>
      </c>
      <c r="V41" s="9">
        <f t="shared" si="33"/>
        <v>0</v>
      </c>
    </row>
    <row r="42" spans="1:22" x14ac:dyDescent="0.35">
      <c r="A42" s="20" t="str">
        <f>CONCATENATE(TEXT(O3,"DD-MMM-YYY")," to ",TEXT(O41,"DD-MMM-YYYY"))</f>
        <v>01-Oct-2025 to 31-Oct-2025</v>
      </c>
      <c r="B42" s="9">
        <f t="shared" si="38"/>
        <v>937546.79999999981</v>
      </c>
      <c r="C42" s="9">
        <f t="shared" si="39"/>
        <v>468773.39999999991</v>
      </c>
      <c r="D42" s="9">
        <f t="shared" ref="D42:I42" si="43">SUM(D38:D41)</f>
        <v>1406320.1999999997</v>
      </c>
      <c r="E42" s="9">
        <f t="shared" si="43"/>
        <v>3281413.8</v>
      </c>
      <c r="F42" s="9">
        <f t="shared" si="43"/>
        <v>4687734</v>
      </c>
      <c r="G42" s="9">
        <f t="shared" si="43"/>
        <v>2189270</v>
      </c>
      <c r="H42" s="9">
        <f t="shared" si="43"/>
        <v>2498464</v>
      </c>
      <c r="I42" s="9">
        <f t="shared" si="43"/>
        <v>170930</v>
      </c>
      <c r="J42" s="9"/>
      <c r="K42" s="9"/>
      <c r="L42" s="9"/>
      <c r="M42" s="9"/>
      <c r="O42" s="12" t="s">
        <v>3</v>
      </c>
      <c r="P42" s="12">
        <f t="shared" ref="P42:V42" si="44">SUM(P36:P41)</f>
        <v>20759.8</v>
      </c>
      <c r="Q42" s="11">
        <f t="shared" si="44"/>
        <v>62279.4</v>
      </c>
      <c r="R42" s="9">
        <f t="shared" si="44"/>
        <v>145318.6</v>
      </c>
      <c r="S42" s="9">
        <f t="shared" si="44"/>
        <v>207598</v>
      </c>
      <c r="T42" s="9">
        <f t="shared" si="44"/>
        <v>35070</v>
      </c>
      <c r="U42" s="9">
        <f t="shared" si="44"/>
        <v>172528</v>
      </c>
      <c r="V42" s="9">
        <f t="shared" si="44"/>
        <v>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20759.8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45935</v>
      </c>
      <c r="P47" s="9"/>
      <c r="Q47" s="9">
        <f t="shared" ref="Q47:V47" si="45">SUM(D8:D33)</f>
        <v>1253301.6000000003</v>
      </c>
      <c r="R47" s="9">
        <f t="shared" si="45"/>
        <v>2924370.4000000004</v>
      </c>
      <c r="S47" s="9">
        <f t="shared" si="45"/>
        <v>4177672</v>
      </c>
      <c r="T47" s="9">
        <f t="shared" si="45"/>
        <v>1827170</v>
      </c>
      <c r="U47" s="9">
        <f t="shared" si="45"/>
        <v>2262202</v>
      </c>
      <c r="V47" s="9">
        <f t="shared" si="45"/>
        <v>88300</v>
      </c>
    </row>
    <row r="48" spans="1:22" x14ac:dyDescent="0.35">
      <c r="O48" s="12" t="s">
        <v>7</v>
      </c>
      <c r="P48" s="11"/>
      <c r="Q48" s="11">
        <f>Q47/3</f>
        <v>417767.20000000013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3378-7B05-42CD-AAE9-0E1252E347FD}">
  <dimension ref="A1:V48"/>
  <sheetViews>
    <sheetView zoomScale="90" zoomScaleNormal="90" workbookViewId="0">
      <pane ySplit="1" topLeftCell="A2" activePane="bottomLeft" state="frozen"/>
      <selection activeCell="F34" sqref="F34"/>
      <selection pane="bottomLeft" activeCell="A2" sqref="A2"/>
    </sheetView>
  </sheetViews>
  <sheetFormatPr defaultColWidth="26" defaultRowHeight="14.5" x14ac:dyDescent="0.35"/>
  <cols>
    <col min="1" max="1" width="27.90625" bestFit="1" customWidth="1"/>
    <col min="2" max="7" width="10" style="19" bestFit="1" customWidth="1"/>
    <col min="8" max="8" width="12.26953125" style="19" bestFit="1" customWidth="1"/>
    <col min="9" max="13" width="10" style="19" bestFit="1" customWidth="1"/>
    <col min="14" max="14" width="6.54296875" customWidth="1"/>
    <col min="15" max="15" width="28.7265625" bestFit="1" customWidth="1"/>
    <col min="16" max="20" width="10" bestFit="1" customWidth="1"/>
    <col min="21" max="21" width="16.453125" bestFit="1" customWidth="1"/>
    <col min="22" max="22" width="9" bestFit="1" customWidth="1"/>
  </cols>
  <sheetData>
    <row r="1" spans="1:22" s="3" customFormat="1" ht="29" x14ac:dyDescent="0.35">
      <c r="A1" s="1" t="s">
        <v>0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309</v>
      </c>
      <c r="L1" s="2" t="s">
        <v>12</v>
      </c>
      <c r="M1" s="2" t="s">
        <v>14</v>
      </c>
      <c r="N1" s="48" t="s">
        <v>128</v>
      </c>
      <c r="O1" s="4" t="s">
        <v>0</v>
      </c>
      <c r="P1" s="5" t="s">
        <v>7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</row>
    <row r="2" spans="1:22" x14ac:dyDescent="0.35">
      <c r="A2" s="6">
        <v>2</v>
      </c>
      <c r="B2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" s="43"/>
      <c r="D2" s="7">
        <f t="shared" ref="D2:D33" si="0">F2*0.3</f>
        <v>0</v>
      </c>
      <c r="E2" s="7">
        <f t="shared" ref="E2:E33" si="1">F2-D2</f>
        <v>0</v>
      </c>
      <c r="F2" s="7">
        <f>G2+H2+Table234534568791112151416171819202122232425262728345678910113456789101112410121516182022[[#This Row],[Expense]]</f>
        <v>0</v>
      </c>
      <c r="G2" s="7"/>
      <c r="H2" s="7"/>
      <c r="I2" s="7"/>
      <c r="J2" s="7"/>
      <c r="K2" s="7">
        <f>Table234534568791112151416171819202122232425262728345678910113456789101112410121516182022[[#This Row],[Account Transfer]]-Table234534568791112151416171819202122232425262728345678910113456789101112410121516182022[[#This Row],[Expense Online]]</f>
        <v>0</v>
      </c>
      <c r="L2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" s="46"/>
      <c r="O2" s="8"/>
      <c r="P2" s="9"/>
      <c r="Q2" s="9"/>
      <c r="R2" s="9"/>
      <c r="S2" s="9"/>
      <c r="T2" s="9"/>
      <c r="U2" s="9"/>
      <c r="V2" s="9">
        <v>0</v>
      </c>
    </row>
    <row r="3" spans="1:22" x14ac:dyDescent="0.35">
      <c r="A3" s="6">
        <v>45962</v>
      </c>
      <c r="B3" s="7">
        <f>Table234534568791112151416171819202122232425262728345678910113456789101112410121516182022[[#This Row],[Profit]]-Table234534568791112151416171819202122232425262728345678910113456789101112410121516182022[[#This Row],[Mulbhag]]</f>
        <v>4000</v>
      </c>
      <c r="C3" s="43">
        <f>Table234534568791112151416171819202122232425262728345678910113456789101112410121516182022[[#This Row],[Profit]]/3</f>
        <v>2000</v>
      </c>
      <c r="D3" s="7">
        <f t="shared" si="0"/>
        <v>6000</v>
      </c>
      <c r="E3" s="7">
        <f t="shared" si="1"/>
        <v>14000</v>
      </c>
      <c r="F3" s="7">
        <f>G3+H3+Table234534568791112151416171819202122232425262728345678910113456789101112410121516182022[[#This Row],[Expense]]</f>
        <v>20000</v>
      </c>
      <c r="G3" s="7">
        <v>4900</v>
      </c>
      <c r="H3" s="7">
        <v>15100</v>
      </c>
      <c r="I3" s="7"/>
      <c r="J3" s="7">
        <v>59400</v>
      </c>
      <c r="K3" s="7"/>
      <c r="L3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-1100</v>
      </c>
      <c r="M3" s="7">
        <f>Table234534568791112151416171819202122232425262728345678910113456789101112410121516182022[[#This Row],[Cash]]-Table234534568791112151416171819202122232425262728345678910113456789101112410121516182022[[#This Row],[Expense]]</f>
        <v>4900</v>
      </c>
      <c r="N3" s="45"/>
      <c r="O3" s="10">
        <f t="shared" ref="O3:O9" si="2">A3</f>
        <v>45962</v>
      </c>
      <c r="P3" s="11">
        <f>Q3/3</f>
        <v>2000</v>
      </c>
      <c r="Q3" s="11">
        <f>S3*0.3</f>
        <v>6000</v>
      </c>
      <c r="R3" s="11">
        <f t="shared" ref="R3:R9" si="3">S3-Q3</f>
        <v>14000</v>
      </c>
      <c r="S3" s="11">
        <f>T3+U3</f>
        <v>20000</v>
      </c>
      <c r="T3" s="11">
        <f t="shared" ref="T3:T9" si="4">VLOOKUP(O3,$A$1:$J$34,7,0)</f>
        <v>4900</v>
      </c>
      <c r="U3" s="11">
        <f t="shared" ref="U3:U9" si="5">VLOOKUP(O3,$A$1:$J$34,8,0)</f>
        <v>15100</v>
      </c>
      <c r="V3" s="11">
        <f t="shared" ref="V3:V9" si="6">VLOOKUP(O3,$A$1:$J$34,9,0)</f>
        <v>0</v>
      </c>
    </row>
    <row r="4" spans="1:22" x14ac:dyDescent="0.35">
      <c r="A4" s="6">
        <v>45963</v>
      </c>
      <c r="B4" s="7">
        <f>Table234534568791112151416171819202122232425262728345678910113456789101112410121516182022[[#This Row],[Profit]]-Table234534568791112151416171819202122232425262728345678910113456789101112410121516182022[[#This Row],[Mulbhag]]</f>
        <v>3386</v>
      </c>
      <c r="C4" s="43">
        <f>Table234534568791112151416171819202122232425262728345678910113456789101112410121516182022[[#This Row],[Profit]]/3</f>
        <v>1693</v>
      </c>
      <c r="D4" s="7">
        <f t="shared" si="0"/>
        <v>5079</v>
      </c>
      <c r="E4" s="7">
        <f t="shared" si="1"/>
        <v>11851</v>
      </c>
      <c r="F4" s="7">
        <f>G4+H4+Table234534568791112151416171819202122232425262728345678910113456789101112410121516182022[[#This Row],[Expense]]</f>
        <v>16930</v>
      </c>
      <c r="G4" s="7">
        <v>9400</v>
      </c>
      <c r="H4" s="7">
        <v>7400</v>
      </c>
      <c r="I4" s="7">
        <v>130</v>
      </c>
      <c r="J4" s="7"/>
      <c r="K4" s="7"/>
      <c r="L4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4191</v>
      </c>
      <c r="M4" s="7">
        <f>Table234534568791112151416171819202122232425262728345678910113456789101112410121516182022[[#This Row],[Cash]]-Table234534568791112151416171819202122232425262728345678910113456789101112410121516182022[[#This Row],[Expense]]</f>
        <v>9270</v>
      </c>
      <c r="N4" s="45"/>
      <c r="O4" s="8">
        <f t="shared" si="2"/>
        <v>45963</v>
      </c>
      <c r="P4" s="9">
        <f>Q4/3</f>
        <v>1680</v>
      </c>
      <c r="Q4" s="9">
        <f>S4*0.3</f>
        <v>5040</v>
      </c>
      <c r="R4" s="9">
        <f t="shared" si="3"/>
        <v>11760</v>
      </c>
      <c r="S4" s="9">
        <f t="shared" ref="S4:S9" si="7">T4+U4</f>
        <v>16800</v>
      </c>
      <c r="T4" s="9">
        <f t="shared" si="4"/>
        <v>9400</v>
      </c>
      <c r="U4" s="9">
        <f t="shared" si="5"/>
        <v>7400</v>
      </c>
      <c r="V4" s="9">
        <f t="shared" si="6"/>
        <v>130</v>
      </c>
    </row>
    <row r="5" spans="1:22" x14ac:dyDescent="0.35">
      <c r="A5" s="6">
        <v>45964</v>
      </c>
      <c r="B5" s="7">
        <f>Table234534568791112151416171819202122232425262728345678910113456789101112410121516182022[[#This Row],[Profit]]-Table234534568791112151416171819202122232425262728345678910113456789101112410121516182022[[#This Row],[Mulbhag]]</f>
        <v>7130</v>
      </c>
      <c r="C5" s="43">
        <f>Table234534568791112151416171819202122232425262728345678910113456789101112410121516182022[[#This Row],[Profit]]/3</f>
        <v>3565</v>
      </c>
      <c r="D5" s="7">
        <f t="shared" si="0"/>
        <v>10695</v>
      </c>
      <c r="E5" s="7">
        <f t="shared" si="1"/>
        <v>24955</v>
      </c>
      <c r="F5" s="7">
        <f>G5+H5+Table234534568791112151416171819202122232425262728345678910113456789101112410121516182022[[#This Row],[Expense]]</f>
        <v>35650</v>
      </c>
      <c r="G5" s="7">
        <v>4600</v>
      </c>
      <c r="H5" s="7">
        <v>31050</v>
      </c>
      <c r="I5" s="7"/>
      <c r="J5" s="7">
        <v>2200</v>
      </c>
      <c r="K5" s="7"/>
      <c r="L5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-6095</v>
      </c>
      <c r="M5" s="7">
        <f>Table234534568791112151416171819202122232425262728345678910113456789101112410121516182022[[#This Row],[Cash]]-Table234534568791112151416171819202122232425262728345678910113456789101112410121516182022[[#This Row],[Expense]]</f>
        <v>4600</v>
      </c>
      <c r="N5" s="45"/>
      <c r="O5" s="10">
        <f t="shared" si="2"/>
        <v>45964</v>
      </c>
      <c r="P5" s="11">
        <f t="shared" ref="P5:P9" si="8">Q5/3</f>
        <v>3565</v>
      </c>
      <c r="Q5" s="11">
        <f t="shared" ref="Q5:Q9" si="9">S5*0.3</f>
        <v>10695</v>
      </c>
      <c r="R5" s="11">
        <f t="shared" si="3"/>
        <v>24955</v>
      </c>
      <c r="S5" s="11">
        <f t="shared" si="7"/>
        <v>35650</v>
      </c>
      <c r="T5" s="11">
        <f t="shared" si="4"/>
        <v>4600</v>
      </c>
      <c r="U5" s="11">
        <f t="shared" si="5"/>
        <v>31050</v>
      </c>
      <c r="V5" s="11">
        <f t="shared" si="6"/>
        <v>0</v>
      </c>
    </row>
    <row r="6" spans="1:22" x14ac:dyDescent="0.35">
      <c r="A6" s="6">
        <v>45965</v>
      </c>
      <c r="B6" s="7">
        <f>Table234534568791112151416171819202122232425262728345678910113456789101112410121516182022[[#This Row],[Profit]]-Table234534568791112151416171819202122232425262728345678910113456789101112410121516182022[[#This Row],[Mulbhag]]</f>
        <v>12972</v>
      </c>
      <c r="C6" s="43">
        <f>Table234534568791112151416171819202122232425262728345678910113456789101112410121516182022[[#This Row],[Profit]]/3</f>
        <v>6486</v>
      </c>
      <c r="D6" s="7">
        <f t="shared" si="0"/>
        <v>19458</v>
      </c>
      <c r="E6" s="7">
        <f t="shared" si="1"/>
        <v>45402</v>
      </c>
      <c r="F6" s="7">
        <f>G6+H6+Table234534568791112151416171819202122232425262728345678910113456789101112410121516182022[[#This Row],[Expense]]</f>
        <v>64860</v>
      </c>
      <c r="G6" s="7">
        <v>4575</v>
      </c>
      <c r="H6" s="7">
        <v>60285</v>
      </c>
      <c r="I6" s="7"/>
      <c r="J6" s="7">
        <v>26120</v>
      </c>
      <c r="K6" s="7"/>
      <c r="L6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-14883</v>
      </c>
      <c r="M6" s="7">
        <f>Table234534568791112151416171819202122232425262728345678910113456789101112410121516182022[[#This Row],[Cash]]-Table234534568791112151416171819202122232425262728345678910113456789101112410121516182022[[#This Row],[Expense]]</f>
        <v>4575</v>
      </c>
      <c r="N6" s="45"/>
      <c r="O6" s="8">
        <f t="shared" si="2"/>
        <v>45965</v>
      </c>
      <c r="P6" s="9">
        <f t="shared" si="8"/>
        <v>6486</v>
      </c>
      <c r="Q6" s="9">
        <f t="shared" si="9"/>
        <v>19458</v>
      </c>
      <c r="R6" s="9">
        <f t="shared" si="3"/>
        <v>45402</v>
      </c>
      <c r="S6" s="9">
        <f t="shared" si="7"/>
        <v>64860</v>
      </c>
      <c r="T6" s="9">
        <f t="shared" si="4"/>
        <v>4575</v>
      </c>
      <c r="U6" s="9">
        <f t="shared" si="5"/>
        <v>60285</v>
      </c>
      <c r="V6" s="9">
        <f t="shared" si="6"/>
        <v>0</v>
      </c>
    </row>
    <row r="7" spans="1:22" x14ac:dyDescent="0.35">
      <c r="A7" s="6">
        <v>45966</v>
      </c>
      <c r="B7" s="7">
        <f>Table234534568791112151416171819202122232425262728345678910113456789101112410121516182022[[#This Row],[Profit]]-Table234534568791112151416171819202122232425262728345678910113456789101112410121516182022[[#This Row],[Mulbhag]]</f>
        <v>9004</v>
      </c>
      <c r="C7" s="43">
        <f>Table234534568791112151416171819202122232425262728345678910113456789101112410121516182022[[#This Row],[Profit]]/3</f>
        <v>4502</v>
      </c>
      <c r="D7" s="7">
        <f t="shared" si="0"/>
        <v>13506</v>
      </c>
      <c r="E7" s="7">
        <f t="shared" si="1"/>
        <v>31514</v>
      </c>
      <c r="F7" s="7">
        <f>G7+H7+Table234534568791112151416171819202122232425262728345678910113456789101112410121516182022[[#This Row],[Expense]]</f>
        <v>45020</v>
      </c>
      <c r="G7" s="7">
        <v>8070</v>
      </c>
      <c r="H7" s="7">
        <v>36950</v>
      </c>
      <c r="I7" s="7"/>
      <c r="J7" s="7">
        <v>150</v>
      </c>
      <c r="K7" s="7"/>
      <c r="L7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-5436</v>
      </c>
      <c r="M7" s="7">
        <f>Table234534568791112151416171819202122232425262728345678910113456789101112410121516182022[[#This Row],[Cash]]-Table234534568791112151416171819202122232425262728345678910113456789101112410121516182022[[#This Row],[Expense]]</f>
        <v>8070</v>
      </c>
      <c r="N7" s="45">
        <v>5260</v>
      </c>
      <c r="O7" s="10">
        <f t="shared" si="2"/>
        <v>45966</v>
      </c>
      <c r="P7" s="11">
        <f t="shared" si="8"/>
        <v>4502</v>
      </c>
      <c r="Q7" s="11">
        <f t="shared" si="9"/>
        <v>13506</v>
      </c>
      <c r="R7" s="11">
        <f t="shared" si="3"/>
        <v>31514</v>
      </c>
      <c r="S7" s="11">
        <f t="shared" si="7"/>
        <v>45020</v>
      </c>
      <c r="T7" s="11">
        <f t="shared" si="4"/>
        <v>8070</v>
      </c>
      <c r="U7" s="11">
        <f t="shared" si="5"/>
        <v>36950</v>
      </c>
      <c r="V7" s="11">
        <f t="shared" si="6"/>
        <v>0</v>
      </c>
    </row>
    <row r="8" spans="1:22" x14ac:dyDescent="0.35">
      <c r="A8" s="6">
        <v>45967</v>
      </c>
      <c r="B8" s="7">
        <f>Table234534568791112151416171819202122232425262728345678910113456789101112410121516182022[[#This Row],[Profit]]-Table234534568791112151416171819202122232425262728345678910113456789101112410121516182022[[#This Row],[Mulbhag]]</f>
        <v>11026.8</v>
      </c>
      <c r="C8" s="43">
        <f>Table234534568791112151416171819202122232425262728345678910113456789101112410121516182022[[#This Row],[Profit]]/3</f>
        <v>5513.4000000000005</v>
      </c>
      <c r="D8" s="7">
        <f t="shared" si="0"/>
        <v>16540.2</v>
      </c>
      <c r="E8" s="7">
        <f t="shared" si="1"/>
        <v>38593.800000000003</v>
      </c>
      <c r="F8" s="7">
        <f>G8+H8+Table234534568791112151416171819202122232425262728345678910113456789101112410121516182022[[#This Row],[Expense]]</f>
        <v>55134</v>
      </c>
      <c r="G8" s="7">
        <v>27800</v>
      </c>
      <c r="H8" s="7">
        <v>27334</v>
      </c>
      <c r="I8" s="7"/>
      <c r="J8" s="7">
        <v>12110</v>
      </c>
      <c r="K8" s="7"/>
      <c r="L8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11259.8</v>
      </c>
      <c r="M8" s="7">
        <f>Table234534568791112151416171819202122232425262728345678910113456789101112410121516182022[[#This Row],[Cash]]-Table234534568791112151416171819202122232425262728345678910113456789101112410121516182022[[#This Row],[Expense]]</f>
        <v>27800</v>
      </c>
      <c r="N8" s="45"/>
      <c r="O8" s="8">
        <f t="shared" si="2"/>
        <v>45967</v>
      </c>
      <c r="P8" s="9">
        <f t="shared" si="8"/>
        <v>5513.4000000000005</v>
      </c>
      <c r="Q8" s="9">
        <f t="shared" si="9"/>
        <v>16540.2</v>
      </c>
      <c r="R8" s="9">
        <f t="shared" si="3"/>
        <v>38593.800000000003</v>
      </c>
      <c r="S8" s="9">
        <f t="shared" si="7"/>
        <v>55134</v>
      </c>
      <c r="T8" s="9">
        <f t="shared" si="4"/>
        <v>27800</v>
      </c>
      <c r="U8" s="9">
        <f t="shared" si="5"/>
        <v>27334</v>
      </c>
      <c r="V8" s="9">
        <f t="shared" si="6"/>
        <v>0</v>
      </c>
    </row>
    <row r="9" spans="1:22" x14ac:dyDescent="0.35">
      <c r="A9" s="6">
        <v>45968</v>
      </c>
      <c r="B9" s="7">
        <f>Table234534568791112151416171819202122232425262728345678910113456789101112410121516182022[[#This Row],[Profit]]-Table234534568791112151416171819202122232425262728345678910113456789101112410121516182022[[#This Row],[Mulbhag]]</f>
        <v>2402</v>
      </c>
      <c r="C9" s="43">
        <f>Table234534568791112151416171819202122232425262728345678910113456789101112410121516182022[[#This Row],[Profit]]/3</f>
        <v>1201</v>
      </c>
      <c r="D9" s="7">
        <f t="shared" si="0"/>
        <v>3603</v>
      </c>
      <c r="E9" s="7">
        <f t="shared" si="1"/>
        <v>8407</v>
      </c>
      <c r="F9" s="7">
        <f>G9+H9+Table234534568791112151416171819202122232425262728345678910113456789101112410121516182022[[#This Row],[Expense]]</f>
        <v>12010</v>
      </c>
      <c r="G9" s="7">
        <v>5000</v>
      </c>
      <c r="H9" s="7">
        <v>7010</v>
      </c>
      <c r="I9" s="7"/>
      <c r="J9" s="7">
        <v>3500</v>
      </c>
      <c r="K9" s="7"/>
      <c r="L9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1397</v>
      </c>
      <c r="M9" s="7">
        <f>Table234534568791112151416171819202122232425262728345678910113456789101112410121516182022[[#This Row],[Cash]]-Table234534568791112151416171819202122232425262728345678910113456789101112410121516182022[[#This Row],[Expense]]</f>
        <v>5000</v>
      </c>
      <c r="N9" s="45"/>
      <c r="O9" s="10">
        <f t="shared" si="2"/>
        <v>45968</v>
      </c>
      <c r="P9" s="11">
        <f t="shared" si="8"/>
        <v>1201</v>
      </c>
      <c r="Q9" s="11">
        <f t="shared" si="9"/>
        <v>3603</v>
      </c>
      <c r="R9" s="11">
        <f t="shared" si="3"/>
        <v>8407</v>
      </c>
      <c r="S9" s="11">
        <f t="shared" si="7"/>
        <v>12010</v>
      </c>
      <c r="T9" s="11">
        <f t="shared" si="4"/>
        <v>5000</v>
      </c>
      <c r="U9" s="11">
        <f t="shared" si="5"/>
        <v>7010</v>
      </c>
      <c r="V9" s="11">
        <f t="shared" si="6"/>
        <v>0</v>
      </c>
    </row>
    <row r="10" spans="1:22" x14ac:dyDescent="0.35">
      <c r="A10" s="6">
        <v>45969</v>
      </c>
      <c r="B10" s="7">
        <f>Table234534568791112151416171819202122232425262728345678910113456789101112410121516182022[[#This Row],[Profit]]-Table234534568791112151416171819202122232425262728345678910113456789101112410121516182022[[#This Row],[Mulbhag]]</f>
        <v>1267</v>
      </c>
      <c r="C10" s="43">
        <f>Table234534568791112151416171819202122232425262728345678910113456789101112410121516182022[[#This Row],[Profit]]/3</f>
        <v>633.5</v>
      </c>
      <c r="D10" s="7">
        <f t="shared" si="0"/>
        <v>1900.5</v>
      </c>
      <c r="E10" s="7">
        <f t="shared" si="1"/>
        <v>4434.5</v>
      </c>
      <c r="F10" s="7">
        <f>G10+H10+Table234534568791112151416171819202122232425262728345678910113456789101112410121516182022[[#This Row],[Expense]]</f>
        <v>6335</v>
      </c>
      <c r="G10" s="7">
        <v>3950</v>
      </c>
      <c r="H10" s="7">
        <v>2385</v>
      </c>
      <c r="I10" s="7"/>
      <c r="J10" s="7">
        <f>2500+14000</f>
        <v>16500</v>
      </c>
      <c r="K10" s="7"/>
      <c r="L10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2049.5</v>
      </c>
      <c r="M10" s="7">
        <f>Table234534568791112151416171819202122232425262728345678910113456789101112410121516182022[[#This Row],[Cash]]-Table234534568791112151416171819202122232425262728345678910113456789101112410121516182022[[#This Row],[Expense]]</f>
        <v>3950</v>
      </c>
      <c r="N10" s="45"/>
      <c r="O10" s="12" t="s">
        <v>3</v>
      </c>
      <c r="P10" s="12">
        <f>SUM(P3:P9)</f>
        <v>24947.4</v>
      </c>
      <c r="Q10" s="12">
        <f>SUM(Q3:Q9)</f>
        <v>74842.2</v>
      </c>
      <c r="R10" s="12">
        <f>SUM(R2:R9)</f>
        <v>174631.8</v>
      </c>
      <c r="S10" s="12">
        <f>SUM(S2:S9)</f>
        <v>249474</v>
      </c>
      <c r="T10" s="12">
        <f>SUM(T2:T9)</f>
        <v>64345</v>
      </c>
      <c r="U10" s="12">
        <f>SUM(U2:U9)</f>
        <v>185129</v>
      </c>
      <c r="V10" s="12">
        <f>SUM(V2:V9)</f>
        <v>130</v>
      </c>
    </row>
    <row r="11" spans="1:22" x14ac:dyDescent="0.35">
      <c r="A11" s="6">
        <v>45970</v>
      </c>
      <c r="B11" s="7">
        <f>Table234534568791112151416171819202122232425262728345678910113456789101112410121516182022[[#This Row],[Profit]]-Table234534568791112151416171819202122232425262728345678910113456789101112410121516182022[[#This Row],[Mulbhag]]</f>
        <v>2860</v>
      </c>
      <c r="C11" s="43">
        <f>Table234534568791112151416171819202122232425262728345678910113456789101112410121516182022[[#This Row],[Profit]]/3</f>
        <v>1430</v>
      </c>
      <c r="D11" s="7">
        <f t="shared" si="0"/>
        <v>4290</v>
      </c>
      <c r="E11" s="7">
        <f t="shared" si="1"/>
        <v>10010</v>
      </c>
      <c r="F11" s="7">
        <f>G11+H11+Table234534568791112151416171819202122232425262728345678910113456789101112410121516182022[[#This Row],[Expense]]</f>
        <v>14300</v>
      </c>
      <c r="G11" s="7">
        <v>5400</v>
      </c>
      <c r="H11" s="7">
        <v>8900</v>
      </c>
      <c r="I11" s="7"/>
      <c r="J11" s="7">
        <v>800</v>
      </c>
      <c r="K11" s="7"/>
      <c r="L11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1110</v>
      </c>
      <c r="M11" s="7">
        <f>Table234534568791112151416171819202122232425262728345678910113456789101112410121516182022[[#This Row],[Cash]]-Table234534568791112151416171819202122232425262728345678910113456789101112410121516182022[[#This Row],[Expense]]</f>
        <v>5400</v>
      </c>
      <c r="N11" s="45"/>
      <c r="O11" s="12" t="s">
        <v>7</v>
      </c>
      <c r="P11" s="12"/>
      <c r="Q11" s="12">
        <f>Q10/3</f>
        <v>24947.399999999998</v>
      </c>
      <c r="R11" s="12"/>
      <c r="S11" s="12"/>
      <c r="T11" s="11"/>
      <c r="U11" s="11"/>
      <c r="V11" s="11"/>
    </row>
    <row r="12" spans="1:22" x14ac:dyDescent="0.35">
      <c r="A12" s="6">
        <v>45971</v>
      </c>
      <c r="B12" s="7">
        <f>Table234534568791112151416171819202122232425262728345678910113456789101112410121516182022[[#This Row],[Profit]]-Table234534568791112151416171819202122232425262728345678910113456789101112410121516182022[[#This Row],[Mulbhag]]</f>
        <v>3268</v>
      </c>
      <c r="C12" s="43">
        <f>Table234534568791112151416171819202122232425262728345678910113456789101112410121516182022[[#This Row],[Profit]]/3</f>
        <v>1634</v>
      </c>
      <c r="D12" s="7">
        <f t="shared" si="0"/>
        <v>4902</v>
      </c>
      <c r="E12" s="7">
        <f t="shared" si="1"/>
        <v>11438</v>
      </c>
      <c r="F12" s="7">
        <f>G12+H12+Table234534568791112151416171819202122232425262728345678910113456789101112410121516182022[[#This Row],[Expense]]</f>
        <v>16340</v>
      </c>
      <c r="G12" s="7">
        <v>3640</v>
      </c>
      <c r="H12" s="7">
        <v>12700</v>
      </c>
      <c r="I12" s="7"/>
      <c r="J12" s="7">
        <v>200</v>
      </c>
      <c r="K12" s="7"/>
      <c r="L12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-1262</v>
      </c>
      <c r="M12" s="7">
        <f>Table234534568791112151416171819202122232425262728345678910113456789101112410121516182022[[#This Row],[Cash]]-Table234534568791112151416171819202122232425262728345678910113456789101112410121516182022[[#This Row],[Expense]]</f>
        <v>3640</v>
      </c>
      <c r="N12" s="45"/>
    </row>
    <row r="13" spans="1:22" x14ac:dyDescent="0.35">
      <c r="A13" s="6">
        <v>45972</v>
      </c>
      <c r="B13" s="7">
        <f>Table234534568791112151416171819202122232425262728345678910113456789101112410121516182022[[#This Row],[Profit]]-Table234534568791112151416171819202122232425262728345678910113456789101112410121516182022[[#This Row],[Mulbhag]]</f>
        <v>8876</v>
      </c>
      <c r="C13" s="43">
        <f>Table234534568791112151416171819202122232425262728345678910113456789101112410121516182022[[#This Row],[Profit]]/3</f>
        <v>4438</v>
      </c>
      <c r="D13" s="7">
        <f t="shared" si="0"/>
        <v>13314</v>
      </c>
      <c r="E13" s="7">
        <f t="shared" si="1"/>
        <v>31066</v>
      </c>
      <c r="F13" s="7">
        <f>G13+H13+Table234534568791112151416171819202122232425262728345678910113456789101112410121516182022[[#This Row],[Expense]]</f>
        <v>44380</v>
      </c>
      <c r="G13" s="7">
        <v>24080</v>
      </c>
      <c r="H13" s="7">
        <v>20300</v>
      </c>
      <c r="I13" s="7"/>
      <c r="J13" s="7">
        <v>80</v>
      </c>
      <c r="K13" s="7"/>
      <c r="L13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10766</v>
      </c>
      <c r="M13" s="7">
        <f>Table234534568791112151416171819202122232425262728345678910113456789101112410121516182022[[#This Row],[Cash]]-Table234534568791112151416171819202122232425262728345678910113456789101112410121516182022[[#This Row],[Expense]]</f>
        <v>24080</v>
      </c>
      <c r="N13" s="45"/>
      <c r="O13" s="13" t="s">
        <v>0</v>
      </c>
      <c r="P13" s="5"/>
      <c r="Q13" s="5" t="s">
        <v>1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</row>
    <row r="14" spans="1:22" x14ac:dyDescent="0.35">
      <c r="A14" s="6">
        <v>45973</v>
      </c>
      <c r="B14" s="7">
        <f>Table234534568791112151416171819202122232425262728345678910113456789101112410121516182022[[#This Row],[Profit]]-Table234534568791112151416171819202122232425262728345678910113456789101112410121516182022[[#This Row],[Mulbhag]]</f>
        <v>4313</v>
      </c>
      <c r="C14" s="28">
        <f>Table234534568791112151416171819202122232425262728345678910113456789101112410121516182022[[#This Row],[Profit]]/3</f>
        <v>2156.5</v>
      </c>
      <c r="D14" s="7">
        <f t="shared" si="0"/>
        <v>6469.5</v>
      </c>
      <c r="E14" s="7">
        <f t="shared" si="1"/>
        <v>15095.5</v>
      </c>
      <c r="F14" s="7">
        <f>G14+H14+Table234534568791112151416171819202122232425262728345678910113456789101112410121516182022[[#This Row],[Expense]]</f>
        <v>21565</v>
      </c>
      <c r="G14" s="7">
        <v>5000</v>
      </c>
      <c r="H14" s="7">
        <v>16565</v>
      </c>
      <c r="I14" s="7"/>
      <c r="J14" s="7">
        <f>1900+4100</f>
        <v>6000</v>
      </c>
      <c r="K14" s="7"/>
      <c r="L14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-1469.5</v>
      </c>
      <c r="M14" s="7">
        <f>Table234534568791112151416171819202122232425262728345678910113456789101112410121516182022[[#This Row],[Cash]]-Table234534568791112151416171819202122232425262728345678910113456789101112410121516182022[[#This Row],[Expense]]</f>
        <v>5000</v>
      </c>
      <c r="N14" s="45"/>
      <c r="O14" s="10">
        <f t="shared" ref="O14:O20" si="10">A10</f>
        <v>45969</v>
      </c>
      <c r="P14" s="11">
        <f>Q14/3</f>
        <v>633.5</v>
      </c>
      <c r="Q14" s="11">
        <f>S14*0.3</f>
        <v>1900.5</v>
      </c>
      <c r="R14" s="11">
        <f t="shared" ref="R14:R20" si="11">S14-Q14</f>
        <v>4434.5</v>
      </c>
      <c r="S14" s="11">
        <f>T14+U14</f>
        <v>6335</v>
      </c>
      <c r="T14" s="11">
        <f t="shared" ref="T14:T20" si="12">VLOOKUP(O14,$A$1:$J$34,7,0)</f>
        <v>3950</v>
      </c>
      <c r="U14" s="11">
        <f t="shared" ref="U14:U20" si="13">VLOOKUP(O14,$A$1:$J$34,8,0)</f>
        <v>2385</v>
      </c>
      <c r="V14" s="11">
        <f t="shared" ref="V14:V20" si="14">VLOOKUP(O14,$A$1:$J$34,9,0)</f>
        <v>0</v>
      </c>
    </row>
    <row r="15" spans="1:22" x14ac:dyDescent="0.35">
      <c r="A15" s="6">
        <v>45974</v>
      </c>
      <c r="B15" s="7">
        <f>Table234534568791112151416171819202122232425262728345678910113456789101112410121516182022[[#This Row],[Profit]]-Table234534568791112151416171819202122232425262728345678910113456789101112410121516182022[[#This Row],[Mulbhag]]</f>
        <v>11550</v>
      </c>
      <c r="C15" s="28">
        <f>Table234534568791112151416171819202122232425262728345678910113456789101112410121516182022[[#This Row],[Profit]]/3</f>
        <v>5775</v>
      </c>
      <c r="D15" s="7">
        <f t="shared" si="0"/>
        <v>17325</v>
      </c>
      <c r="E15" s="7">
        <f t="shared" si="1"/>
        <v>40425</v>
      </c>
      <c r="F15" s="7">
        <f>G15+H15+Table234534568791112151416171819202122232425262728345678910113456789101112410121516182022[[#This Row],[Expense]]</f>
        <v>57750</v>
      </c>
      <c r="G15" s="7">
        <v>9900</v>
      </c>
      <c r="H15" s="7">
        <v>47850</v>
      </c>
      <c r="I15" s="7"/>
      <c r="J15" s="7">
        <f>2200+2970</f>
        <v>5170</v>
      </c>
      <c r="K15" s="7"/>
      <c r="L15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-7425</v>
      </c>
      <c r="M15" s="7">
        <f>Table234534568791112151416171819202122232425262728345678910113456789101112410121516182022[[#This Row],[Cash]]-Table234534568791112151416171819202122232425262728345678910113456789101112410121516182022[[#This Row],[Expense]]</f>
        <v>9900</v>
      </c>
      <c r="N15" s="45"/>
      <c r="O15" s="8">
        <f t="shared" si="10"/>
        <v>45970</v>
      </c>
      <c r="P15" s="9">
        <f>Q15/3</f>
        <v>1430</v>
      </c>
      <c r="Q15" s="9">
        <f>S15*0.3</f>
        <v>4290</v>
      </c>
      <c r="R15" s="9">
        <f t="shared" si="11"/>
        <v>10010</v>
      </c>
      <c r="S15" s="9">
        <f t="shared" ref="S15:S20" si="15">T15+U15</f>
        <v>14300</v>
      </c>
      <c r="T15" s="9">
        <f t="shared" si="12"/>
        <v>5400</v>
      </c>
      <c r="U15" s="9">
        <f t="shared" si="13"/>
        <v>8900</v>
      </c>
      <c r="V15" s="9">
        <f t="shared" si="14"/>
        <v>0</v>
      </c>
    </row>
    <row r="16" spans="1:22" x14ac:dyDescent="0.35">
      <c r="A16" s="6">
        <v>45975</v>
      </c>
      <c r="B16" s="7">
        <f>Table234534568791112151416171819202122232425262728345678910113456789101112410121516182022[[#This Row],[Profit]]-Table234534568791112151416171819202122232425262728345678910113456789101112410121516182022[[#This Row],[Mulbhag]]</f>
        <v>2910</v>
      </c>
      <c r="C16" s="109">
        <f>Table234534568791112151416171819202122232425262728345678910113456789101112410121516182022[[#This Row],[Profit]]/3</f>
        <v>1455</v>
      </c>
      <c r="D16" s="7">
        <f t="shared" si="0"/>
        <v>4365</v>
      </c>
      <c r="E16" s="7">
        <f t="shared" si="1"/>
        <v>10185</v>
      </c>
      <c r="F16" s="7">
        <f>G16+H16+Table234534568791112151416171819202122232425262728345678910113456789101112410121516182022[[#This Row],[Expense]]</f>
        <v>14550</v>
      </c>
      <c r="G16" s="7">
        <v>3750</v>
      </c>
      <c r="H16" s="7">
        <v>10800</v>
      </c>
      <c r="I16" s="7"/>
      <c r="J16" s="7">
        <f>1600+7600</f>
        <v>9200</v>
      </c>
      <c r="K16" s="7"/>
      <c r="L16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-615</v>
      </c>
      <c r="M16" s="7">
        <f>Table234534568791112151416171819202122232425262728345678910113456789101112410121516182022[[#This Row],[Cash]]-Table234534568791112151416171819202122232425262728345678910113456789101112410121516182022[[#This Row],[Expense]]</f>
        <v>3750</v>
      </c>
      <c r="N16" s="45"/>
      <c r="O16" s="10">
        <f t="shared" si="10"/>
        <v>45971</v>
      </c>
      <c r="P16" s="11">
        <f t="shared" ref="P16:P20" si="16">Q16/3</f>
        <v>1634</v>
      </c>
      <c r="Q16" s="11">
        <f t="shared" ref="Q16:Q20" si="17">S16*0.3</f>
        <v>4902</v>
      </c>
      <c r="R16" s="11">
        <f t="shared" si="11"/>
        <v>11438</v>
      </c>
      <c r="S16" s="11">
        <f t="shared" si="15"/>
        <v>16340</v>
      </c>
      <c r="T16" s="11">
        <f t="shared" si="12"/>
        <v>3640</v>
      </c>
      <c r="U16" s="11">
        <f t="shared" si="13"/>
        <v>12700</v>
      </c>
      <c r="V16" s="11">
        <f t="shared" si="14"/>
        <v>0</v>
      </c>
    </row>
    <row r="17" spans="1:22" x14ac:dyDescent="0.35">
      <c r="A17" s="6">
        <v>45976</v>
      </c>
      <c r="B17" s="7">
        <f>Table234534568791112151416171819202122232425262728345678910113456789101112410121516182022[[#This Row],[Profit]]-Table234534568791112151416171819202122232425262728345678910113456789101112410121516182022[[#This Row],[Mulbhag]]</f>
        <v>6260</v>
      </c>
      <c r="C17" s="109">
        <f>Table234534568791112151416171819202122232425262728345678910113456789101112410121516182022[[#This Row],[Profit]]/3</f>
        <v>3130</v>
      </c>
      <c r="D17" s="7">
        <f t="shared" si="0"/>
        <v>9390</v>
      </c>
      <c r="E17" s="7">
        <f t="shared" si="1"/>
        <v>21910</v>
      </c>
      <c r="F17" s="7">
        <f>G17+H17+Table234534568791112151416171819202122232425262728345678910113456789101112410121516182022[[#This Row],[Expense]]</f>
        <v>31300</v>
      </c>
      <c r="G17" s="7">
        <v>15500</v>
      </c>
      <c r="H17" s="7">
        <v>15800</v>
      </c>
      <c r="I17" s="7"/>
      <c r="J17" s="7">
        <v>2000</v>
      </c>
      <c r="K17" s="7"/>
      <c r="L17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6110</v>
      </c>
      <c r="M17" s="7">
        <f>Table234534568791112151416171819202122232425262728345678910113456789101112410121516182022[[#This Row],[Cash]]-Table234534568791112151416171819202122232425262728345678910113456789101112410121516182022[[#This Row],[Expense]]</f>
        <v>15500</v>
      </c>
      <c r="N17" s="45"/>
      <c r="O17" s="8">
        <f t="shared" si="10"/>
        <v>45972</v>
      </c>
      <c r="P17" s="9">
        <f t="shared" si="16"/>
        <v>4438</v>
      </c>
      <c r="Q17" s="9">
        <f t="shared" si="17"/>
        <v>13314</v>
      </c>
      <c r="R17" s="9">
        <f t="shared" si="11"/>
        <v>31066</v>
      </c>
      <c r="S17" s="9">
        <f t="shared" si="15"/>
        <v>44380</v>
      </c>
      <c r="T17" s="9">
        <f t="shared" si="12"/>
        <v>24080</v>
      </c>
      <c r="U17" s="9">
        <f t="shared" si="13"/>
        <v>20300</v>
      </c>
      <c r="V17" s="9">
        <f t="shared" si="14"/>
        <v>0</v>
      </c>
    </row>
    <row r="18" spans="1:22" x14ac:dyDescent="0.35">
      <c r="A18" s="6">
        <v>45977</v>
      </c>
      <c r="B18" s="7">
        <f>Table234534568791112151416171819202122232425262728345678910113456789101112410121516182022[[#This Row],[Profit]]-Table234534568791112151416171819202122232425262728345678910113456789101112410121516182022[[#This Row],[Mulbhag]]</f>
        <v>2330</v>
      </c>
      <c r="C18" s="109">
        <f>Table234534568791112151416171819202122232425262728345678910113456789101112410121516182022[[#This Row],[Profit]]/3</f>
        <v>1165</v>
      </c>
      <c r="D18" s="7">
        <f t="shared" si="0"/>
        <v>3495</v>
      </c>
      <c r="E18" s="7">
        <f t="shared" si="1"/>
        <v>8155</v>
      </c>
      <c r="F18" s="7">
        <f>G18+H18+Table234534568791112151416171819202122232425262728345678910113456789101112410121516182022[[#This Row],[Expense]]</f>
        <v>11650</v>
      </c>
      <c r="G18" s="7">
        <v>4000</v>
      </c>
      <c r="H18" s="7">
        <v>7650</v>
      </c>
      <c r="I18" s="7"/>
      <c r="J18" s="7">
        <v>1400</v>
      </c>
      <c r="K18" s="7"/>
      <c r="L18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505</v>
      </c>
      <c r="M18" s="7">
        <f>Table234534568791112151416171819202122232425262728345678910113456789101112410121516182022[[#This Row],[Cash]]-Table234534568791112151416171819202122232425262728345678910113456789101112410121516182022[[#This Row],[Expense]]</f>
        <v>4000</v>
      </c>
      <c r="N18" s="45"/>
      <c r="O18" s="10">
        <f t="shared" si="10"/>
        <v>45973</v>
      </c>
      <c r="P18" s="11">
        <f t="shared" si="16"/>
        <v>2156.5</v>
      </c>
      <c r="Q18" s="11">
        <f t="shared" si="17"/>
        <v>6469.5</v>
      </c>
      <c r="R18" s="11">
        <f t="shared" si="11"/>
        <v>15095.5</v>
      </c>
      <c r="S18" s="11">
        <f t="shared" si="15"/>
        <v>21565</v>
      </c>
      <c r="T18" s="11">
        <f t="shared" si="12"/>
        <v>5000</v>
      </c>
      <c r="U18" s="11">
        <f t="shared" si="13"/>
        <v>16565</v>
      </c>
      <c r="V18" s="11">
        <f t="shared" si="14"/>
        <v>0</v>
      </c>
    </row>
    <row r="19" spans="1:22" x14ac:dyDescent="0.35">
      <c r="A19" s="6">
        <v>45978</v>
      </c>
      <c r="B19" s="7">
        <f>Table234534568791112151416171819202122232425262728345678910113456789101112410121516182022[[#This Row],[Profit]]-Table234534568791112151416171819202122232425262728345678910113456789101112410121516182022[[#This Row],[Mulbhag]]</f>
        <v>9510.2000000000007</v>
      </c>
      <c r="C19" s="109">
        <f>Table234534568791112151416171819202122232425262728345678910113456789101112410121516182022[[#This Row],[Profit]]/3</f>
        <v>4755.0999999999995</v>
      </c>
      <c r="D19" s="7">
        <f t="shared" si="0"/>
        <v>14265.3</v>
      </c>
      <c r="E19" s="7">
        <f t="shared" si="1"/>
        <v>33285.699999999997</v>
      </c>
      <c r="F19" s="7">
        <f>G19+H19+Table234534568791112151416171819202122232425262728345678910113456789101112410121516182022[[#This Row],[Expense]]</f>
        <v>47551</v>
      </c>
      <c r="G19" s="7">
        <v>12500</v>
      </c>
      <c r="H19" s="7">
        <v>35051</v>
      </c>
      <c r="I19" s="7"/>
      <c r="J19" s="7">
        <v>10000</v>
      </c>
      <c r="K19" s="7"/>
      <c r="L19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-1765.3000000000002</v>
      </c>
      <c r="M19" s="7">
        <f>Table234534568791112151416171819202122232425262728345678910113456789101112410121516182022[[#This Row],[Cash]]-Table234534568791112151416171819202122232425262728345678910113456789101112410121516182022[[#This Row],[Expense]]</f>
        <v>12500</v>
      </c>
      <c r="N19" s="45"/>
      <c r="O19" s="8">
        <f t="shared" si="10"/>
        <v>45974</v>
      </c>
      <c r="P19" s="9">
        <f t="shared" si="16"/>
        <v>5775</v>
      </c>
      <c r="Q19" s="9">
        <f t="shared" si="17"/>
        <v>17325</v>
      </c>
      <c r="R19" s="9">
        <f t="shared" si="11"/>
        <v>40425</v>
      </c>
      <c r="S19" s="9">
        <f t="shared" si="15"/>
        <v>57750</v>
      </c>
      <c r="T19" s="9">
        <f t="shared" si="12"/>
        <v>9900</v>
      </c>
      <c r="U19" s="9">
        <f t="shared" si="13"/>
        <v>47850</v>
      </c>
      <c r="V19" s="9">
        <f t="shared" si="14"/>
        <v>0</v>
      </c>
    </row>
    <row r="20" spans="1:22" x14ac:dyDescent="0.35">
      <c r="A20" s="6">
        <v>45979</v>
      </c>
      <c r="B20" s="7">
        <f>Table234534568791112151416171819202122232425262728345678910113456789101112410121516182022[[#This Row],[Profit]]-Table234534568791112151416171819202122232425262728345678910113456789101112410121516182022[[#This Row],[Mulbhag]]</f>
        <v>5386.1999999999989</v>
      </c>
      <c r="C20" s="109">
        <f>Table234534568791112151416171819202122232425262728345678910113456789101112410121516182022[[#This Row],[Profit]]/3</f>
        <v>2693.1</v>
      </c>
      <c r="D20" s="7">
        <f t="shared" si="0"/>
        <v>8079.2999999999993</v>
      </c>
      <c r="E20" s="7">
        <f t="shared" si="1"/>
        <v>18851.7</v>
      </c>
      <c r="F20" s="7">
        <f>G20+H20+Table234534568791112151416171819202122232425262728345678910113456789101112410121516182022[[#This Row],[Expense]]</f>
        <v>26931</v>
      </c>
      <c r="G20" s="7">
        <v>3900</v>
      </c>
      <c r="H20" s="7">
        <v>23031</v>
      </c>
      <c r="I20" s="7"/>
      <c r="J20" s="7">
        <f>19200+200</f>
        <v>19400</v>
      </c>
      <c r="K20" s="7"/>
      <c r="L20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-4179.2999999999993</v>
      </c>
      <c r="M20" s="7">
        <f>Table234534568791112151416171819202122232425262728345678910113456789101112410121516182022[[#This Row],[Cash]]-Table234534568791112151416171819202122232425262728345678910113456789101112410121516182022[[#This Row],[Expense]]</f>
        <v>3900</v>
      </c>
      <c r="N20" s="45"/>
      <c r="O20" s="10">
        <f t="shared" si="10"/>
        <v>45975</v>
      </c>
      <c r="P20" s="11">
        <f t="shared" si="16"/>
        <v>1455</v>
      </c>
      <c r="Q20" s="11">
        <f t="shared" si="17"/>
        <v>4365</v>
      </c>
      <c r="R20" s="11">
        <f t="shared" si="11"/>
        <v>10185</v>
      </c>
      <c r="S20" s="11">
        <f t="shared" si="15"/>
        <v>14550</v>
      </c>
      <c r="T20" s="11">
        <f t="shared" si="12"/>
        <v>3750</v>
      </c>
      <c r="U20" s="11">
        <f t="shared" si="13"/>
        <v>10800</v>
      </c>
      <c r="V20" s="11">
        <f t="shared" si="14"/>
        <v>0</v>
      </c>
    </row>
    <row r="21" spans="1:22" x14ac:dyDescent="0.35">
      <c r="A21" s="6">
        <v>45980</v>
      </c>
      <c r="B21" s="7">
        <f>Table234534568791112151416171819202122232425262728345678910113456789101112410121516182022[[#This Row],[Profit]]-Table234534568791112151416171819202122232425262728345678910113456789101112410121516182022[[#This Row],[Mulbhag]]</f>
        <v>8880</v>
      </c>
      <c r="C21" s="109">
        <f>Table234534568791112151416171819202122232425262728345678910113456789101112410121516182022[[#This Row],[Profit]]/3</f>
        <v>4440</v>
      </c>
      <c r="D21" s="7">
        <f t="shared" si="0"/>
        <v>13320</v>
      </c>
      <c r="E21" s="7">
        <f t="shared" si="1"/>
        <v>31080</v>
      </c>
      <c r="F21" s="7">
        <f>G21+H21+Table234534568791112151416171819202122232425262728345678910113456789101112410121516182022[[#This Row],[Expense]]</f>
        <v>44400</v>
      </c>
      <c r="G21" s="7">
        <v>6670</v>
      </c>
      <c r="H21" s="7">
        <v>37730</v>
      </c>
      <c r="I21" s="7"/>
      <c r="J21" s="7">
        <v>580</v>
      </c>
      <c r="K21" s="7"/>
      <c r="L21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-6650</v>
      </c>
      <c r="M21" s="7">
        <f>Table234534568791112151416171819202122232425262728345678910113456789101112410121516182022[[#This Row],[Cash]]-Table234534568791112151416171819202122232425262728345678910113456789101112410121516182022[[#This Row],[Expense]]</f>
        <v>6670</v>
      </c>
      <c r="N21" s="45"/>
      <c r="O21" s="12" t="s">
        <v>3</v>
      </c>
      <c r="P21" s="12">
        <f>SUM(P14:P20)</f>
        <v>17522</v>
      </c>
      <c r="Q21" s="12">
        <f t="shared" ref="Q21:V21" si="18">SUM(Q14:Q20)</f>
        <v>52566</v>
      </c>
      <c r="R21" s="12">
        <f t="shared" si="18"/>
        <v>122654</v>
      </c>
      <c r="S21" s="12">
        <f t="shared" si="18"/>
        <v>175220</v>
      </c>
      <c r="T21" s="12">
        <f t="shared" si="18"/>
        <v>55720</v>
      </c>
      <c r="U21" s="12">
        <f t="shared" si="18"/>
        <v>119500</v>
      </c>
      <c r="V21" s="12">
        <f t="shared" si="18"/>
        <v>0</v>
      </c>
    </row>
    <row r="22" spans="1:22" x14ac:dyDescent="0.35">
      <c r="A22" s="6">
        <v>45981</v>
      </c>
      <c r="B22" s="7">
        <f>Table234534568791112151416171819202122232425262728345678910113456789101112410121516182022[[#This Row],[Profit]]-Table234534568791112151416171819202122232425262728345678910113456789101112410121516182022[[#This Row],[Mulbhag]]</f>
        <v>5249</v>
      </c>
      <c r="C22" s="109">
        <f>Table234534568791112151416171819202122232425262728345678910113456789101112410121516182022[[#This Row],[Profit]]/3</f>
        <v>2624.5</v>
      </c>
      <c r="D22" s="7">
        <f t="shared" si="0"/>
        <v>7873.5</v>
      </c>
      <c r="E22" s="7">
        <f t="shared" si="1"/>
        <v>18371.5</v>
      </c>
      <c r="F22" s="7">
        <f>G22+H22+Table234534568791112151416171819202122232425262728345678910113456789101112410121516182022[[#This Row],[Expense]]</f>
        <v>26245</v>
      </c>
      <c r="G22" s="7">
        <v>6900</v>
      </c>
      <c r="H22" s="7">
        <v>19345</v>
      </c>
      <c r="I22" s="7"/>
      <c r="J22" s="7">
        <v>2000</v>
      </c>
      <c r="K22" s="7"/>
      <c r="L22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-973.5</v>
      </c>
      <c r="M22" s="7">
        <f>Table234534568791112151416171819202122232425262728345678910113456789101112410121516182022[[#This Row],[Cash]]-Table234534568791112151416171819202122232425262728345678910113456789101112410121516182022[[#This Row],[Expense]]</f>
        <v>6900</v>
      </c>
      <c r="N22" s="45"/>
      <c r="O22" s="12" t="s">
        <v>7</v>
      </c>
      <c r="P22" s="12"/>
      <c r="Q22" s="12">
        <f>Q21/3</f>
        <v>17522</v>
      </c>
      <c r="R22" s="12"/>
      <c r="S22" s="12">
        <f>R22+Q22</f>
        <v>17522</v>
      </c>
      <c r="T22" s="11"/>
      <c r="U22" s="11"/>
      <c r="V22" s="11"/>
    </row>
    <row r="23" spans="1:22" x14ac:dyDescent="0.35">
      <c r="A23" s="6">
        <v>45982</v>
      </c>
      <c r="B23" s="7">
        <f>Table234534568791112151416171819202122232425262728345678910113456789101112410121516182022[[#This Row],[Profit]]-Table234534568791112151416171819202122232425262728345678910113456789101112410121516182022[[#This Row],[Mulbhag]]</f>
        <v>8879.5999999999985</v>
      </c>
      <c r="C23" s="109">
        <f>Table234534568791112151416171819202122232425262728345678910113456789101112410121516182022[[#This Row],[Profit]]/3</f>
        <v>4439.8</v>
      </c>
      <c r="D23" s="7">
        <f t="shared" si="0"/>
        <v>13319.4</v>
      </c>
      <c r="E23" s="7">
        <f t="shared" si="1"/>
        <v>31078.6</v>
      </c>
      <c r="F23" s="7">
        <f>G23+H23+Table234534568791112151416171819202122232425262728345678910113456789101112410121516182022[[#This Row],[Expense]]</f>
        <v>44398</v>
      </c>
      <c r="G23" s="7">
        <v>9200</v>
      </c>
      <c r="H23" s="7">
        <v>35198</v>
      </c>
      <c r="I23" s="7"/>
      <c r="J23" s="7">
        <v>5630</v>
      </c>
      <c r="K23" s="7"/>
      <c r="L23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-4119.3999999999987</v>
      </c>
      <c r="M23" s="7">
        <f>Table234534568791112151416171819202122232425262728345678910113456789101112410121516182022[[#This Row],[Cash]]-Table234534568791112151416171819202122232425262728345678910113456789101112410121516182022[[#This Row],[Expense]]</f>
        <v>9200</v>
      </c>
      <c r="N23" s="45"/>
    </row>
    <row r="24" spans="1:22" x14ac:dyDescent="0.35">
      <c r="A24" s="6">
        <v>45983</v>
      </c>
      <c r="B24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4" s="110">
        <f>Table234534568791112151416171819202122232425262728345678910113456789101112410121516182022[[#This Row],[Profit]]/3</f>
        <v>0</v>
      </c>
      <c r="D24" s="7">
        <f t="shared" si="0"/>
        <v>0</v>
      </c>
      <c r="E24" s="7">
        <f t="shared" si="1"/>
        <v>0</v>
      </c>
      <c r="F24" s="7">
        <f>G24+H24</f>
        <v>0</v>
      </c>
      <c r="G24" s="7"/>
      <c r="H24" s="7"/>
      <c r="I24" s="7"/>
      <c r="J24" s="7"/>
      <c r="K24" s="7"/>
      <c r="L24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4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4" s="45"/>
      <c r="O24" s="13" t="s">
        <v>0</v>
      </c>
      <c r="P24" s="14"/>
      <c r="Q24" s="14" t="s">
        <v>1</v>
      </c>
      <c r="R24" s="14" t="s">
        <v>2</v>
      </c>
      <c r="S24" s="14" t="s">
        <v>3</v>
      </c>
      <c r="T24" s="14" t="s">
        <v>4</v>
      </c>
      <c r="U24" s="14" t="s">
        <v>5</v>
      </c>
      <c r="V24" s="14" t="s">
        <v>6</v>
      </c>
    </row>
    <row r="25" spans="1:22" x14ac:dyDescent="0.35">
      <c r="A25" s="6">
        <v>45984</v>
      </c>
      <c r="B25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5" s="110">
        <f>Table234534568791112151416171819202122232425262728345678910113456789101112410121516182022[[#This Row],[Profit]]/3</f>
        <v>0</v>
      </c>
      <c r="D25" s="7">
        <f t="shared" si="0"/>
        <v>0</v>
      </c>
      <c r="E25" s="7">
        <f t="shared" si="1"/>
        <v>0</v>
      </c>
      <c r="F25" s="7">
        <f>G25+H25+Table234534568791112151416171819202122232425262728345678910113456789101112410121516182022[[#This Row],[Expense]]</f>
        <v>0</v>
      </c>
      <c r="G25" s="7"/>
      <c r="H25" s="7"/>
      <c r="I25" s="7"/>
      <c r="J25" s="7"/>
      <c r="K25" s="7"/>
      <c r="L25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5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5" s="45"/>
      <c r="O25" s="10">
        <f t="shared" ref="O25:O31" si="19">A17</f>
        <v>45976</v>
      </c>
      <c r="P25" s="11">
        <f>Q25/3</f>
        <v>3130</v>
      </c>
      <c r="Q25" s="11">
        <f>S25*0.3</f>
        <v>9390</v>
      </c>
      <c r="R25" s="11">
        <f t="shared" ref="R25:R31" si="20">S25-Q25</f>
        <v>21910</v>
      </c>
      <c r="S25" s="11">
        <f>T25+U25</f>
        <v>31300</v>
      </c>
      <c r="T25" s="11">
        <f t="shared" ref="T25:T31" si="21">VLOOKUP(O25,$A$1:$J$34,7,0)</f>
        <v>15500</v>
      </c>
      <c r="U25" s="11">
        <f t="shared" ref="U25:U31" si="22">VLOOKUP(O25,$A$1:$J$34,8,0)</f>
        <v>15800</v>
      </c>
      <c r="V25" s="11">
        <f t="shared" ref="V25:V31" si="23">VLOOKUP(O25,$A$1:$J$34,9,0)</f>
        <v>0</v>
      </c>
    </row>
    <row r="26" spans="1:22" x14ac:dyDescent="0.35">
      <c r="A26" s="6">
        <v>45985</v>
      </c>
      <c r="B26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6" s="43">
        <f>Table234534568791112151416171819202122232425262728345678910113456789101112410121516182022[[#This Row],[Profit]]/3</f>
        <v>0</v>
      </c>
      <c r="D26" s="7">
        <f t="shared" si="0"/>
        <v>0</v>
      </c>
      <c r="E26" s="7">
        <f t="shared" si="1"/>
        <v>0</v>
      </c>
      <c r="F26" s="7">
        <f>G26+H26+Table234534568791112151416171819202122232425262728345678910113456789101112410121516182022[[#This Row],[Expense]]</f>
        <v>0</v>
      </c>
      <c r="G26" s="7"/>
      <c r="H26" s="7"/>
      <c r="I26" s="7"/>
      <c r="J26" s="7"/>
      <c r="K26" s="7"/>
      <c r="L26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6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6" s="45"/>
      <c r="O26" s="8">
        <f t="shared" si="19"/>
        <v>45977</v>
      </c>
      <c r="P26" s="9">
        <f>Q26/3</f>
        <v>1165</v>
      </c>
      <c r="Q26" s="9">
        <f>S26*0.3</f>
        <v>3495</v>
      </c>
      <c r="R26" s="9">
        <f t="shared" si="20"/>
        <v>8155</v>
      </c>
      <c r="S26" s="9">
        <f t="shared" ref="S26:S31" si="24">T26+U26</f>
        <v>11650</v>
      </c>
      <c r="T26" s="9">
        <f t="shared" si="21"/>
        <v>4000</v>
      </c>
      <c r="U26" s="9">
        <f t="shared" si="22"/>
        <v>7650</v>
      </c>
      <c r="V26" s="9">
        <f t="shared" si="23"/>
        <v>0</v>
      </c>
    </row>
    <row r="27" spans="1:22" x14ac:dyDescent="0.35">
      <c r="A27" s="6">
        <v>45986</v>
      </c>
      <c r="B27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7" s="43">
        <f>Table234534568791112151416171819202122232425262728345678910113456789101112410121516182022[[#This Row],[Profit]]/3</f>
        <v>0</v>
      </c>
      <c r="D27" s="7">
        <f t="shared" si="0"/>
        <v>0</v>
      </c>
      <c r="E27" s="7">
        <f t="shared" si="1"/>
        <v>0</v>
      </c>
      <c r="F27" s="7">
        <f>G27+H27+Table234534568791112151416171819202122232425262728345678910113456789101112410121516182022[[#This Row],[Expense]]</f>
        <v>0</v>
      </c>
      <c r="G27" s="7"/>
      <c r="H27" s="7"/>
      <c r="I27" s="7"/>
      <c r="J27" s="7"/>
      <c r="K27" s="7"/>
      <c r="L27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7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7" s="45"/>
      <c r="O27" s="10">
        <f t="shared" si="19"/>
        <v>45978</v>
      </c>
      <c r="P27" s="11">
        <f t="shared" ref="P27:P31" si="25">Q27/3</f>
        <v>4755.0999999999995</v>
      </c>
      <c r="Q27" s="11">
        <f t="shared" ref="Q27:Q31" si="26">S27*0.3</f>
        <v>14265.3</v>
      </c>
      <c r="R27" s="11">
        <f t="shared" si="20"/>
        <v>33285.699999999997</v>
      </c>
      <c r="S27" s="11">
        <f t="shared" si="24"/>
        <v>47551</v>
      </c>
      <c r="T27" s="11">
        <f t="shared" si="21"/>
        <v>12500</v>
      </c>
      <c r="U27" s="11">
        <f t="shared" si="22"/>
        <v>35051</v>
      </c>
      <c r="V27" s="11">
        <f t="shared" si="23"/>
        <v>0</v>
      </c>
    </row>
    <row r="28" spans="1:22" x14ac:dyDescent="0.35">
      <c r="A28" s="6">
        <v>45987</v>
      </c>
      <c r="B28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8" s="43">
        <f>Table234534568791112151416171819202122232425262728345678910113456789101112410121516182022[[#This Row],[Profit]]/3</f>
        <v>0</v>
      </c>
      <c r="D28" s="7">
        <f t="shared" si="0"/>
        <v>0</v>
      </c>
      <c r="E28" s="7">
        <f t="shared" si="1"/>
        <v>0</v>
      </c>
      <c r="F28" s="7">
        <f>G28+H28+Table234534568791112151416171819202122232425262728345678910113456789101112410121516182022[[#This Row],[Expense]]</f>
        <v>0</v>
      </c>
      <c r="G28" s="7"/>
      <c r="H28" s="7"/>
      <c r="I28" s="7"/>
      <c r="J28" s="7"/>
      <c r="K28" s="7"/>
      <c r="L28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8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8" s="45"/>
      <c r="O28" s="8">
        <f t="shared" si="19"/>
        <v>45979</v>
      </c>
      <c r="P28" s="9">
        <f t="shared" si="25"/>
        <v>2693.1</v>
      </c>
      <c r="Q28" s="9">
        <f t="shared" si="26"/>
        <v>8079.2999999999993</v>
      </c>
      <c r="R28" s="9">
        <f t="shared" si="20"/>
        <v>18851.7</v>
      </c>
      <c r="S28" s="9">
        <f t="shared" si="24"/>
        <v>26931</v>
      </c>
      <c r="T28" s="9">
        <f t="shared" si="21"/>
        <v>3900</v>
      </c>
      <c r="U28" s="9">
        <f t="shared" si="22"/>
        <v>23031</v>
      </c>
      <c r="V28" s="9">
        <f t="shared" si="23"/>
        <v>0</v>
      </c>
    </row>
    <row r="29" spans="1:22" x14ac:dyDescent="0.35">
      <c r="A29" s="6">
        <v>45988</v>
      </c>
      <c r="B29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29" s="43">
        <f>Table234534568791112151416171819202122232425262728345678910113456789101112410121516182022[[#This Row],[Profit]]/3</f>
        <v>0</v>
      </c>
      <c r="D29" s="7">
        <f t="shared" si="0"/>
        <v>0</v>
      </c>
      <c r="E29" s="7">
        <f t="shared" si="1"/>
        <v>0</v>
      </c>
      <c r="F29" s="7">
        <f>G29+H29+Table234534568791112151416171819202122232425262728345678910113456789101112410121516182022[[#This Row],[Expense]]</f>
        <v>0</v>
      </c>
      <c r="G29" s="7"/>
      <c r="H29" s="7"/>
      <c r="I29" s="7"/>
      <c r="J29" s="7"/>
      <c r="K29" s="7"/>
      <c r="L29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29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29" s="45"/>
      <c r="O29" s="10">
        <f t="shared" si="19"/>
        <v>45980</v>
      </c>
      <c r="P29" s="11">
        <f t="shared" si="25"/>
        <v>4440</v>
      </c>
      <c r="Q29" s="11">
        <f t="shared" si="26"/>
        <v>13320</v>
      </c>
      <c r="R29" s="11">
        <f t="shared" si="20"/>
        <v>31080</v>
      </c>
      <c r="S29" s="11">
        <f t="shared" si="24"/>
        <v>44400</v>
      </c>
      <c r="T29" s="11">
        <f t="shared" si="21"/>
        <v>6670</v>
      </c>
      <c r="U29" s="11">
        <f t="shared" si="22"/>
        <v>37730</v>
      </c>
      <c r="V29" s="11">
        <f t="shared" si="23"/>
        <v>0</v>
      </c>
    </row>
    <row r="30" spans="1:22" x14ac:dyDescent="0.35">
      <c r="A30" s="6">
        <v>45989</v>
      </c>
      <c r="B30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30" s="43">
        <f>Table234534568791112151416171819202122232425262728345678910113456789101112410121516182022[[#This Row],[Profit]]/3</f>
        <v>0</v>
      </c>
      <c r="D30" s="7">
        <f t="shared" si="0"/>
        <v>0</v>
      </c>
      <c r="E30" s="7">
        <f t="shared" si="1"/>
        <v>0</v>
      </c>
      <c r="F30" s="7">
        <f>G30+H30+Table234534568791112151416171819202122232425262728345678910113456789101112410121516182022[[#This Row],[Expense]]</f>
        <v>0</v>
      </c>
      <c r="G30" s="7"/>
      <c r="H30" s="7"/>
      <c r="I30" s="7"/>
      <c r="J30" s="7"/>
      <c r="K30" s="7"/>
      <c r="L30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30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30" s="45"/>
      <c r="O30" s="8">
        <f t="shared" si="19"/>
        <v>45981</v>
      </c>
      <c r="P30" s="9">
        <f t="shared" si="25"/>
        <v>2624.5</v>
      </c>
      <c r="Q30" s="9">
        <f t="shared" si="26"/>
        <v>7873.5</v>
      </c>
      <c r="R30" s="9">
        <f t="shared" si="20"/>
        <v>18371.5</v>
      </c>
      <c r="S30" s="9">
        <f t="shared" si="24"/>
        <v>26245</v>
      </c>
      <c r="T30" s="9">
        <f t="shared" si="21"/>
        <v>6900</v>
      </c>
      <c r="U30" s="9">
        <f t="shared" si="22"/>
        <v>19345</v>
      </c>
      <c r="V30" s="9">
        <f t="shared" si="23"/>
        <v>0</v>
      </c>
    </row>
    <row r="31" spans="1:22" x14ac:dyDescent="0.35">
      <c r="A31" s="6">
        <v>45990</v>
      </c>
      <c r="B31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31" s="43">
        <f>Table234534568791112151416171819202122232425262728345678910113456789101112410121516182022[[#This Row],[Profit]]/3</f>
        <v>0</v>
      </c>
      <c r="D31" s="7">
        <f t="shared" si="0"/>
        <v>0</v>
      </c>
      <c r="E31" s="7">
        <f t="shared" si="1"/>
        <v>0</v>
      </c>
      <c r="F31" s="7">
        <f>G31+H31+Table234534568791112151416171819202122232425262728345678910113456789101112410121516182022[[#This Row],[Expense]]</f>
        <v>0</v>
      </c>
      <c r="G31" s="7"/>
      <c r="H31" s="7"/>
      <c r="I31" s="7"/>
      <c r="J31" s="7"/>
      <c r="K31" s="7"/>
      <c r="L31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31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31" s="45"/>
      <c r="O31" s="10">
        <f t="shared" si="19"/>
        <v>45982</v>
      </c>
      <c r="P31" s="11">
        <f t="shared" si="25"/>
        <v>4439.8</v>
      </c>
      <c r="Q31" s="11">
        <f t="shared" si="26"/>
        <v>13319.4</v>
      </c>
      <c r="R31" s="11">
        <f t="shared" si="20"/>
        <v>31078.6</v>
      </c>
      <c r="S31" s="11">
        <f t="shared" si="24"/>
        <v>44398</v>
      </c>
      <c r="T31" s="11">
        <f t="shared" si="21"/>
        <v>9200</v>
      </c>
      <c r="U31" s="11">
        <f t="shared" si="22"/>
        <v>35198</v>
      </c>
      <c r="V31" s="11">
        <f t="shared" si="23"/>
        <v>0</v>
      </c>
    </row>
    <row r="32" spans="1:22" x14ac:dyDescent="0.35">
      <c r="A32" s="6">
        <v>45991</v>
      </c>
      <c r="B32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32" s="43">
        <f>Table234534568791112151416171819202122232425262728345678910113456789101112410121516182022[[#This Row],[Profit]]/3</f>
        <v>0</v>
      </c>
      <c r="D32" s="7">
        <f t="shared" si="0"/>
        <v>0</v>
      </c>
      <c r="E32" s="7">
        <f t="shared" si="1"/>
        <v>0</v>
      </c>
      <c r="F32" s="7">
        <f>G32+H32+Table234534568791112151416171819202122232425262728345678910113456789101112410121516182022[[#This Row],[Expense]]</f>
        <v>0</v>
      </c>
      <c r="G32" s="7"/>
      <c r="H32" s="7"/>
      <c r="I32" s="7"/>
      <c r="J32" s="7"/>
      <c r="K32" s="7"/>
      <c r="L32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32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32" s="45"/>
      <c r="O32" s="12" t="s">
        <v>3</v>
      </c>
      <c r="P32" s="12">
        <f>SUM(P25:P31)</f>
        <v>23247.499999999996</v>
      </c>
      <c r="Q32" s="11">
        <f t="shared" ref="Q32:V32" si="27">SUM(Q25:Q31)</f>
        <v>69742.5</v>
      </c>
      <c r="R32" s="11">
        <f t="shared" si="27"/>
        <v>162732.5</v>
      </c>
      <c r="S32" s="11">
        <f t="shared" si="27"/>
        <v>232475</v>
      </c>
      <c r="T32" s="11">
        <f t="shared" si="27"/>
        <v>58670</v>
      </c>
      <c r="U32" s="11">
        <f t="shared" si="27"/>
        <v>173805</v>
      </c>
      <c r="V32" s="11">
        <f t="shared" si="27"/>
        <v>0</v>
      </c>
    </row>
    <row r="33" spans="1:22" x14ac:dyDescent="0.35">
      <c r="A33" s="6">
        <v>45992</v>
      </c>
      <c r="B33" s="7">
        <f>Table234534568791112151416171819202122232425262728345678910113456789101112410121516182022[[#This Row],[Profit]]-Table234534568791112151416171819202122232425262728345678910113456789101112410121516182022[[#This Row],[Mulbhag]]</f>
        <v>0</v>
      </c>
      <c r="C33" s="43">
        <f>Table234534568791112151416171819202122232425262728345678910113456789101112410121516182022[[#This Row],[Profit]]/3</f>
        <v>0</v>
      </c>
      <c r="D33" s="7">
        <f t="shared" si="0"/>
        <v>0</v>
      </c>
      <c r="E33" s="7">
        <f t="shared" si="1"/>
        <v>0</v>
      </c>
      <c r="F33" s="7">
        <f>G33+H33+Table234534568791112151416171819202122232425262728345678910113456789101112410121516182022[[#This Row],[Expense]]</f>
        <v>0</v>
      </c>
      <c r="G33" s="7"/>
      <c r="H33" s="7"/>
      <c r="I33" s="7">
        <f>IFERROR(VLOOKUP(Table234534568791112151416171819202122232425262728345678910113456789101112410121516182022[[#This Row],[Date]],'Sept Expense'!H31:K278,3,0),0)</f>
        <v>0</v>
      </c>
      <c r="J33" s="7">
        <f>IFERROR(VLOOKUP(Table234534568791112151416171819202122232425262728345678910113456789101112410121516182022[[#This Row],[Date]],'Sept Expense'!H31:K278,4,0),0)</f>
        <v>0</v>
      </c>
      <c r="K33" s="7">
        <f>Table234534568791112151416171819202122232425262728345678910113456789101112410121516182022[[#This Row],[Account Transfer]]-Table234534568791112151416171819202122232425262728345678910113456789101112410121516182022[[#This Row],[Expense Online]]</f>
        <v>0</v>
      </c>
      <c r="L33" s="7">
        <f>Table234534568791112151416171819202122232425262728345678910113456789101112410121516182022[[#This Row],[Cash]]-Table234534568791112151416171819202122232425262728345678910113456789101112410121516182022[[#This Row],[Mulbhag]]-Table234534568791112151416171819202122232425262728345678910113456789101112410121516182022[[#This Row],[Actual Profit]]-Table234534568791112151416171819202122232425262728345678910113456789101112410121516182022[[#This Row],[Expense]]</f>
        <v>0</v>
      </c>
      <c r="M33" s="7">
        <f>Table234534568791112151416171819202122232425262728345678910113456789101112410121516182022[[#This Row],[Cash]]-Table234534568791112151416171819202122232425262728345678910113456789101112410121516182022[[#This Row],[Expense]]</f>
        <v>0</v>
      </c>
      <c r="N33" s="47"/>
      <c r="O33" s="12" t="s">
        <v>7</v>
      </c>
      <c r="P33" s="9"/>
      <c r="Q33" s="9">
        <f>Q32/3</f>
        <v>23247.5</v>
      </c>
      <c r="R33" s="9"/>
      <c r="S33" s="9"/>
      <c r="T33" s="9"/>
      <c r="U33" s="9"/>
      <c r="V33" s="9"/>
    </row>
    <row r="34" spans="1:22" ht="15" thickBot="1" x14ac:dyDescent="0.4">
      <c r="A34" s="15" t="s">
        <v>3</v>
      </c>
      <c r="B34" s="16">
        <f>SUBTOTAL(109,Table234534568791112151416171819202122232425262728345678910113456789101112410121516182022[Actual Profit])</f>
        <v>131459.79999999999</v>
      </c>
      <c r="C34" s="16">
        <f>SUBTOTAL(109,Table234534568791112151416171819202122232425262728345678910113456789101112410121516182022[Mulbhag])</f>
        <v>65729.899999999994</v>
      </c>
      <c r="D34" s="16">
        <f>SUBTOTAL(109,Table234534568791112151416171819202122232425262728345678910113456789101112410121516182022[Profit])</f>
        <v>197189.69999999998</v>
      </c>
      <c r="E34" s="16">
        <f>SUBTOTAL(109,Table234534568791112151416171819202122232425262728345678910113456789101112410121516182022[Profit])</f>
        <v>197189.69999999998</v>
      </c>
      <c r="F34" s="16">
        <f>SUM(F3:F33)</f>
        <v>657299</v>
      </c>
      <c r="G34" s="16">
        <f>SUBTOTAL(109,Table234534568791112151416171819202122232425262728345678910113456789101112410121516182022[Profit])</f>
        <v>197189.69999999998</v>
      </c>
      <c r="H34" s="16">
        <f>SUBTOTAL(109,Table234534568791112151416171819202122232425262728345678910113456789101112410121516182022[Profit])</f>
        <v>197189.69999999998</v>
      </c>
      <c r="I34" s="16">
        <f>SUBTOTAL(109,Table234534568791112151416171819202122232425262728345678910113456789101112410121516182022[Expense])</f>
        <v>130</v>
      </c>
      <c r="J34" s="16">
        <f>SUBTOTAL(109,Table234534568791112151416171819202122232425262728345678910113456789101112410121516182022[Expense Online])</f>
        <v>182440</v>
      </c>
      <c r="K34" s="16">
        <f>SUBTOTAL(109,Table234534568791112151416171819202122232425262728345678910113456789101112410121516182022[x])</f>
        <v>0</v>
      </c>
      <c r="L34" s="16">
        <f>SUM(L5:L33)</f>
        <v>-21675.699999999997</v>
      </c>
      <c r="M34" s="16">
        <f>SUBTOTAL(109,Table234534568791112151416171819202122232425262728345678910113456789101112410121516182022[Actual Balance])</f>
        <v>178605</v>
      </c>
    </row>
    <row r="35" spans="1:22" x14ac:dyDescent="0.35">
      <c r="A35" s="17"/>
      <c r="B35" s="18"/>
      <c r="C35" s="18"/>
      <c r="D35" s="18">
        <f>D34/3</f>
        <v>65729.899999999994</v>
      </c>
      <c r="E35" s="18"/>
      <c r="F35" s="18">
        <f>'Sept 2025'!F34</f>
        <v>956793</v>
      </c>
      <c r="G35" s="18">
        <f>F34*0.42</f>
        <v>276065.58</v>
      </c>
      <c r="H35" s="18"/>
      <c r="I35" s="18"/>
      <c r="J35" s="18"/>
      <c r="K35" s="18"/>
      <c r="L35" s="18"/>
      <c r="M35" s="18"/>
      <c r="O35" s="13" t="s">
        <v>0</v>
      </c>
      <c r="P35" s="14"/>
      <c r="Q35" s="14" t="s">
        <v>1</v>
      </c>
      <c r="R35" s="14" t="s">
        <v>2</v>
      </c>
      <c r="S35" s="14" t="s">
        <v>3</v>
      </c>
      <c r="T35" s="14" t="s">
        <v>4</v>
      </c>
      <c r="U35" s="14" t="s">
        <v>5</v>
      </c>
      <c r="V35" s="14" t="s">
        <v>6</v>
      </c>
    </row>
    <row r="36" spans="1:22" x14ac:dyDescent="0.35">
      <c r="A36" s="17"/>
      <c r="B36" s="18"/>
      <c r="C36" s="18"/>
      <c r="D36" s="18">
        <f>D35*100/F34</f>
        <v>9.9999999999999982</v>
      </c>
      <c r="E36" s="18"/>
      <c r="F36" s="18">
        <f>F34+F35</f>
        <v>1614092</v>
      </c>
      <c r="G36" s="18">
        <f>G35/3</f>
        <v>92021.86</v>
      </c>
      <c r="H36" s="18"/>
      <c r="I36" s="18"/>
      <c r="J36" s="18"/>
      <c r="K36" s="18"/>
      <c r="L36" s="18"/>
      <c r="M36" s="18"/>
      <c r="O36" s="8">
        <f t="shared" ref="O36:O40" si="28">A24</f>
        <v>45983</v>
      </c>
      <c r="P36" s="11">
        <f>Q36/3</f>
        <v>0</v>
      </c>
      <c r="Q36" s="11">
        <f>S36*0.3</f>
        <v>0</v>
      </c>
      <c r="R36" s="11">
        <f t="shared" ref="R36:R41" si="29">S36-Q36</f>
        <v>0</v>
      </c>
      <c r="S36" s="11">
        <f>T36+U36</f>
        <v>0</v>
      </c>
      <c r="T36" s="11">
        <f t="shared" ref="T36:T41" si="30">VLOOKUP(O36,$A$1:$J$34,7,0)</f>
        <v>0</v>
      </c>
      <c r="U36" s="11">
        <f t="shared" ref="U36:U41" si="31">VLOOKUP(O36,$A$1:$J$34,8,0)</f>
        <v>0</v>
      </c>
      <c r="V36" s="11">
        <f t="shared" ref="V36:V41" si="32">VLOOKUP(O36,$A$1:$J$34,9,0)</f>
        <v>0</v>
      </c>
    </row>
    <row r="37" spans="1:22" ht="29" x14ac:dyDescent="0.35">
      <c r="A37" s="13" t="s">
        <v>0</v>
      </c>
      <c r="B37" s="41" t="s">
        <v>10</v>
      </c>
      <c r="C37" s="41" t="s">
        <v>9</v>
      </c>
      <c r="D37" s="14" t="s">
        <v>1</v>
      </c>
      <c r="E37" s="14" t="s">
        <v>2</v>
      </c>
      <c r="F37" s="14" t="s">
        <v>3</v>
      </c>
      <c r="G37" s="14" t="s">
        <v>4</v>
      </c>
      <c r="H37" s="41" t="s">
        <v>5</v>
      </c>
      <c r="I37" s="14" t="s">
        <v>6</v>
      </c>
      <c r="J37" s="14"/>
      <c r="K37" s="14"/>
      <c r="L37" s="14"/>
      <c r="M37" s="14"/>
      <c r="O37" s="8">
        <f t="shared" si="28"/>
        <v>45984</v>
      </c>
      <c r="P37" s="9">
        <f>Q37/3</f>
        <v>0</v>
      </c>
      <c r="Q37" s="9">
        <f>S37*0.3</f>
        <v>0</v>
      </c>
      <c r="R37" s="9">
        <f t="shared" si="29"/>
        <v>0</v>
      </c>
      <c r="S37" s="9">
        <f t="shared" ref="S37:S41" si="33">T37+U37</f>
        <v>0</v>
      </c>
      <c r="T37" s="9">
        <f t="shared" si="30"/>
        <v>0</v>
      </c>
      <c r="U37" s="9">
        <f t="shared" si="31"/>
        <v>0</v>
      </c>
      <c r="V37" s="9">
        <f t="shared" si="32"/>
        <v>0</v>
      </c>
    </row>
    <row r="38" spans="1:22" x14ac:dyDescent="0.35">
      <c r="A38" s="20" t="str">
        <f>CONCATENATE(TEXT(O3,"DD-MMM-YYY")," to ",TEXT(O9,"DD-MMM-YYYY"))</f>
        <v>01-Nov-2025 to 07-Nov-2025</v>
      </c>
      <c r="B38" s="11">
        <f>D38-C38</f>
        <v>49894.8</v>
      </c>
      <c r="C38" s="11">
        <f>D38/3</f>
        <v>24947.399999999998</v>
      </c>
      <c r="D38" s="11">
        <f>Q10</f>
        <v>74842.2</v>
      </c>
      <c r="E38" s="11">
        <f t="shared" ref="E38:I38" si="34">R10</f>
        <v>174631.8</v>
      </c>
      <c r="F38" s="11">
        <f t="shared" si="34"/>
        <v>249474</v>
      </c>
      <c r="G38" s="11">
        <f t="shared" si="34"/>
        <v>64345</v>
      </c>
      <c r="H38" s="11">
        <f t="shared" si="34"/>
        <v>185129</v>
      </c>
      <c r="I38" s="11">
        <f t="shared" si="34"/>
        <v>130</v>
      </c>
      <c r="J38" s="11"/>
      <c r="K38" s="11"/>
      <c r="L38" s="11"/>
      <c r="M38" s="11"/>
      <c r="O38" s="10">
        <f t="shared" si="28"/>
        <v>45985</v>
      </c>
      <c r="P38" s="11">
        <f t="shared" ref="P38:P41" si="35">Q38/3</f>
        <v>0</v>
      </c>
      <c r="Q38" s="11">
        <f t="shared" ref="Q38:Q41" si="36">S38*0.3</f>
        <v>0</v>
      </c>
      <c r="R38" s="11">
        <f t="shared" si="29"/>
        <v>0</v>
      </c>
      <c r="S38" s="11">
        <f t="shared" si="33"/>
        <v>0</v>
      </c>
      <c r="T38" s="11">
        <f t="shared" si="30"/>
        <v>0</v>
      </c>
      <c r="U38" s="11">
        <f t="shared" si="31"/>
        <v>0</v>
      </c>
      <c r="V38" s="11">
        <f t="shared" si="32"/>
        <v>0</v>
      </c>
    </row>
    <row r="39" spans="1:22" x14ac:dyDescent="0.35">
      <c r="A39" s="20" t="str">
        <f>CONCATENATE(TEXT(O14,"DD-MMM-YYY")," to ",TEXT(O20,"DD-MMM-YYYY"))</f>
        <v>08-Nov-2025 to 14-Nov-2025</v>
      </c>
      <c r="B39" s="9">
        <f t="shared" ref="B39:B42" si="37">D39-C39</f>
        <v>35044</v>
      </c>
      <c r="C39" s="9">
        <f t="shared" ref="C39:C42" si="38">D39/3</f>
        <v>17522</v>
      </c>
      <c r="D39" s="9">
        <f>Q21</f>
        <v>52566</v>
      </c>
      <c r="E39" s="9">
        <f t="shared" ref="E39:I39" si="39">R21</f>
        <v>122654</v>
      </c>
      <c r="F39" s="9">
        <f t="shared" si="39"/>
        <v>175220</v>
      </c>
      <c r="G39" s="9">
        <f t="shared" si="39"/>
        <v>55720</v>
      </c>
      <c r="H39" s="9">
        <f t="shared" si="39"/>
        <v>119500</v>
      </c>
      <c r="I39" s="9">
        <f t="shared" si="39"/>
        <v>0</v>
      </c>
      <c r="J39" s="9"/>
      <c r="K39" s="9"/>
      <c r="L39" s="9"/>
      <c r="M39" s="9"/>
      <c r="O39" s="8">
        <f t="shared" si="28"/>
        <v>45986</v>
      </c>
      <c r="P39" s="9">
        <f t="shared" si="35"/>
        <v>0</v>
      </c>
      <c r="Q39" s="9">
        <f t="shared" si="36"/>
        <v>0</v>
      </c>
      <c r="R39" s="9">
        <f t="shared" si="29"/>
        <v>0</v>
      </c>
      <c r="S39" s="9">
        <f t="shared" si="33"/>
        <v>0</v>
      </c>
      <c r="T39" s="9">
        <f t="shared" si="30"/>
        <v>0</v>
      </c>
      <c r="U39" s="9">
        <f t="shared" si="31"/>
        <v>0</v>
      </c>
      <c r="V39" s="9">
        <f t="shared" si="32"/>
        <v>0</v>
      </c>
    </row>
    <row r="40" spans="1:22" x14ac:dyDescent="0.35">
      <c r="A40" s="20" t="str">
        <f>CONCATENATE(TEXT(O25,"DD-MMM-YYY")," to ",TEXT(O31,"DD-MMM-YYYY"))</f>
        <v>15-Nov-2025 to 21-Nov-2025</v>
      </c>
      <c r="B40" s="11">
        <f t="shared" si="37"/>
        <v>46495</v>
      </c>
      <c r="C40" s="11">
        <f t="shared" si="38"/>
        <v>23247.5</v>
      </c>
      <c r="D40" s="11">
        <f>Q32</f>
        <v>69742.5</v>
      </c>
      <c r="E40" s="11">
        <f t="shared" ref="E40:I40" si="40">R32</f>
        <v>162732.5</v>
      </c>
      <c r="F40" s="11">
        <f t="shared" si="40"/>
        <v>232475</v>
      </c>
      <c r="G40" s="11">
        <f t="shared" si="40"/>
        <v>58670</v>
      </c>
      <c r="H40" s="11">
        <f t="shared" si="40"/>
        <v>173805</v>
      </c>
      <c r="I40" s="11">
        <f t="shared" si="40"/>
        <v>0</v>
      </c>
      <c r="J40" s="11"/>
      <c r="K40" s="11"/>
      <c r="L40" s="11"/>
      <c r="M40" s="11"/>
      <c r="O40" s="10">
        <f t="shared" si="28"/>
        <v>45987</v>
      </c>
      <c r="P40" s="11">
        <f t="shared" si="35"/>
        <v>0</v>
      </c>
      <c r="Q40" s="11">
        <f t="shared" si="36"/>
        <v>0</v>
      </c>
      <c r="R40" s="11">
        <f t="shared" si="29"/>
        <v>0</v>
      </c>
      <c r="S40" s="11">
        <f t="shared" si="33"/>
        <v>0</v>
      </c>
      <c r="T40" s="11">
        <f t="shared" si="30"/>
        <v>0</v>
      </c>
      <c r="U40" s="11">
        <f t="shared" si="31"/>
        <v>0</v>
      </c>
      <c r="V40" s="11">
        <f t="shared" si="32"/>
        <v>0</v>
      </c>
    </row>
    <row r="41" spans="1:22" x14ac:dyDescent="0.35">
      <c r="A41" s="20" t="str">
        <f>CONCATENATE(TEXT(O36,"DD-MMM-YYY")," to ",TEXT(O41,"DD-MMM-YYYY"))</f>
        <v>22-Nov-2025 to 01-Dec-2025</v>
      </c>
      <c r="B41" s="9">
        <f t="shared" si="37"/>
        <v>0</v>
      </c>
      <c r="C41" s="9">
        <f t="shared" si="38"/>
        <v>0</v>
      </c>
      <c r="D41" s="9">
        <f>Q42</f>
        <v>0</v>
      </c>
      <c r="E41" s="9">
        <f t="shared" ref="E41:I41" si="41">R42</f>
        <v>0</v>
      </c>
      <c r="F41" s="9">
        <f t="shared" si="41"/>
        <v>0</v>
      </c>
      <c r="G41" s="9">
        <f t="shared" si="41"/>
        <v>0</v>
      </c>
      <c r="H41" s="9">
        <f t="shared" si="41"/>
        <v>0</v>
      </c>
      <c r="I41" s="9">
        <f t="shared" si="41"/>
        <v>0</v>
      </c>
      <c r="J41" s="9"/>
      <c r="K41" s="9"/>
      <c r="L41" s="9"/>
      <c r="M41" s="9"/>
      <c r="O41" s="8">
        <f>A33</f>
        <v>45992</v>
      </c>
      <c r="P41" s="9">
        <f t="shared" si="35"/>
        <v>0</v>
      </c>
      <c r="Q41" s="9">
        <f t="shared" si="36"/>
        <v>0</v>
      </c>
      <c r="R41" s="9">
        <f t="shared" si="29"/>
        <v>0</v>
      </c>
      <c r="S41" s="9">
        <f t="shared" si="33"/>
        <v>0</v>
      </c>
      <c r="T41" s="9">
        <f t="shared" si="30"/>
        <v>0</v>
      </c>
      <c r="U41" s="9">
        <f t="shared" si="31"/>
        <v>0</v>
      </c>
      <c r="V41" s="9">
        <f t="shared" si="32"/>
        <v>0</v>
      </c>
    </row>
    <row r="42" spans="1:22" x14ac:dyDescent="0.35">
      <c r="A42" s="20" t="str">
        <f>CONCATENATE(TEXT(O3,"DD-MMM-YYY")," to ",TEXT(O41,"DD-MMM-YYYY"))</f>
        <v>01-Nov-2025 to 01-Dec-2025</v>
      </c>
      <c r="B42" s="9">
        <f t="shared" si="37"/>
        <v>131433.79999999999</v>
      </c>
      <c r="C42" s="9">
        <f t="shared" si="38"/>
        <v>65716.900000000009</v>
      </c>
      <c r="D42" s="9">
        <f t="shared" ref="D42:I42" si="42">SUM(D38:D41)</f>
        <v>197150.7</v>
      </c>
      <c r="E42" s="9">
        <f t="shared" si="42"/>
        <v>460018.3</v>
      </c>
      <c r="F42" s="9">
        <f t="shared" si="42"/>
        <v>657169</v>
      </c>
      <c r="G42" s="9">
        <f t="shared" si="42"/>
        <v>178735</v>
      </c>
      <c r="H42" s="9">
        <f t="shared" si="42"/>
        <v>478434</v>
      </c>
      <c r="I42" s="9">
        <f t="shared" si="42"/>
        <v>130</v>
      </c>
      <c r="J42" s="9"/>
      <c r="K42" s="9"/>
      <c r="L42" s="9"/>
      <c r="M42" s="9"/>
      <c r="O42" s="12" t="s">
        <v>3</v>
      </c>
      <c r="P42" s="12">
        <f t="shared" ref="P42:V42" si="43">SUM(P36:P41)</f>
        <v>0</v>
      </c>
      <c r="Q42" s="11">
        <f t="shared" si="43"/>
        <v>0</v>
      </c>
      <c r="R42" s="9">
        <f t="shared" si="43"/>
        <v>0</v>
      </c>
      <c r="S42" s="9">
        <f t="shared" si="43"/>
        <v>0</v>
      </c>
      <c r="T42" s="9">
        <f t="shared" si="43"/>
        <v>0</v>
      </c>
      <c r="U42" s="9">
        <f t="shared" si="43"/>
        <v>0</v>
      </c>
      <c r="V42" s="9">
        <f t="shared" si="43"/>
        <v>0</v>
      </c>
    </row>
    <row r="43" spans="1:22" x14ac:dyDescent="0.35">
      <c r="E43" s="19" t="s">
        <v>3</v>
      </c>
      <c r="O43" s="12" t="s">
        <v>7</v>
      </c>
      <c r="P43" s="11"/>
      <c r="Q43" s="11">
        <f>Q42/3</f>
        <v>0</v>
      </c>
      <c r="R43" s="11"/>
      <c r="S43" s="11"/>
      <c r="T43" s="11"/>
      <c r="U43" s="11"/>
      <c r="V43" s="11"/>
    </row>
    <row r="46" spans="1:22" x14ac:dyDescent="0.35">
      <c r="O46" s="13" t="s">
        <v>0</v>
      </c>
      <c r="P46" s="14"/>
      <c r="Q46" s="14" t="s">
        <v>1</v>
      </c>
      <c r="R46" s="14" t="s">
        <v>2</v>
      </c>
      <c r="S46" s="14" t="s">
        <v>3</v>
      </c>
      <c r="T46" s="14" t="s">
        <v>4</v>
      </c>
      <c r="U46" s="14" t="s">
        <v>5</v>
      </c>
      <c r="V46" s="14" t="s">
        <v>6</v>
      </c>
    </row>
    <row r="47" spans="1:22" x14ac:dyDescent="0.35">
      <c r="O47" s="21">
        <f>A7</f>
        <v>45966</v>
      </c>
      <c r="P47" s="9"/>
      <c r="Q47" s="9">
        <f t="shared" ref="Q47:V47" si="44">SUM(D8:D33)</f>
        <v>142451.70000000001</v>
      </c>
      <c r="R47" s="9">
        <f t="shared" si="44"/>
        <v>332387.3</v>
      </c>
      <c r="S47" s="9">
        <f t="shared" si="44"/>
        <v>474839</v>
      </c>
      <c r="T47" s="9">
        <f t="shared" si="44"/>
        <v>147190</v>
      </c>
      <c r="U47" s="9">
        <f t="shared" si="44"/>
        <v>327649</v>
      </c>
      <c r="V47" s="9">
        <f t="shared" si="44"/>
        <v>0</v>
      </c>
    </row>
    <row r="48" spans="1:22" x14ac:dyDescent="0.35">
      <c r="O48" s="12" t="s">
        <v>7</v>
      </c>
      <c r="P48" s="11"/>
      <c r="Q48" s="11">
        <f>Q47/3</f>
        <v>47483.9</v>
      </c>
      <c r="R48" s="11"/>
      <c r="S48" s="11"/>
      <c r="T48" s="11"/>
      <c r="U48" s="11"/>
      <c r="V48" s="11"/>
    </row>
  </sheetData>
  <conditionalFormatting sqref="A1:B1 D1:K1">
    <cfRule type="dataBar" priority="16">
      <dataBar>
        <cfvo type="min"/>
        <cfvo type="max"/>
        <color rgb="FF638EC6"/>
      </dataBar>
    </cfRule>
  </conditionalFormatting>
  <conditionalFormatting sqref="B37">
    <cfRule type="dataBar" priority="5">
      <dataBar>
        <cfvo type="min"/>
        <cfvo type="max"/>
        <color rgb="FF638EC6"/>
      </dataBar>
    </cfRule>
  </conditionalFormatting>
  <conditionalFormatting sqref="B37:C37">
    <cfRule type="dataBar" priority="3">
      <dataBar>
        <cfvo type="min"/>
        <cfvo type="max"/>
        <color rgb="FF638EC6"/>
      </dataBar>
    </cfRule>
  </conditionalFormatting>
  <conditionalFormatting sqref="B1:M1">
    <cfRule type="dataBar" priority="6">
      <dataBar>
        <cfvo type="min"/>
        <cfvo type="max"/>
        <color rgb="FF638EC6"/>
      </dataBar>
    </cfRule>
  </conditionalFormatting>
  <conditionalFormatting sqref="C1">
    <cfRule type="dataBar" priority="7">
      <dataBar>
        <cfvo type="min"/>
        <cfvo type="max"/>
        <color rgb="FF638EC6"/>
      </dataBar>
    </cfRule>
  </conditionalFormatting>
  <conditionalFormatting sqref="C37">
    <cfRule type="dataBar" priority="4">
      <dataBar>
        <cfvo type="min"/>
        <cfvo type="max"/>
        <color rgb="FF638EC6"/>
      </dataBar>
    </cfRule>
  </conditionalFormatting>
  <conditionalFormatting sqref="D37:G37 A37 I37:M37">
    <cfRule type="dataBar" priority="9">
      <dataBar>
        <cfvo type="min"/>
        <cfvo type="max"/>
        <color rgb="FF638EC6"/>
      </dataBar>
    </cfRule>
  </conditionalFormatting>
  <conditionalFormatting sqref="H37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J1:K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">
    <cfRule type="dataBar" priority="10">
      <dataBar>
        <cfvo type="min"/>
        <cfvo type="max"/>
        <color rgb="FF638EC6"/>
      </dataBar>
    </cfRule>
  </conditionalFormatting>
  <conditionalFormatting sqref="O24:V24">
    <cfRule type="dataBar" priority="13">
      <dataBar>
        <cfvo type="min"/>
        <cfvo type="max"/>
        <color rgb="FF638EC6"/>
      </dataBar>
    </cfRule>
  </conditionalFormatting>
  <conditionalFormatting sqref="O35:V35">
    <cfRule type="dataBar" priority="12">
      <dataBar>
        <cfvo type="min"/>
        <cfvo type="max"/>
        <color rgb="FF638EC6"/>
      </dataBar>
    </cfRule>
  </conditionalFormatting>
  <conditionalFormatting sqref="O46:V46">
    <cfRule type="dataBar" priority="11">
      <dataBar>
        <cfvo type="min"/>
        <cfvo type="max"/>
        <color rgb="FF638EC6"/>
      </dataBar>
    </cfRule>
  </conditionalFormatting>
  <conditionalFormatting sqref="P13:Q13">
    <cfRule type="dataBar" priority="8">
      <dataBar>
        <cfvo type="min"/>
        <cfvo type="max"/>
        <color rgb="FF638EC6"/>
      </dataBar>
    </cfRule>
  </conditionalFormatting>
  <conditionalFormatting sqref="R13:V13 O13">
    <cfRule type="dataBar" priority="1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3C99-CB5D-49C6-8FBE-51F90DD095B2}">
  <dimension ref="A1:K228"/>
  <sheetViews>
    <sheetView zoomScaleNormal="100" workbookViewId="0">
      <selection activeCell="H12" sqref="H12"/>
    </sheetView>
  </sheetViews>
  <sheetFormatPr defaultRowHeight="14.5" x14ac:dyDescent="0.35"/>
  <cols>
    <col min="1" max="1" width="24.26953125" bestFit="1" customWidth="1"/>
    <col min="2" max="2" width="8.81640625" style="24" bestFit="1" customWidth="1"/>
    <col min="3" max="3" width="10" style="24" bestFit="1" customWidth="1"/>
    <col min="4" max="4" width="8.81640625" style="24" bestFit="1" customWidth="1"/>
    <col min="5" max="5" width="27.81640625" bestFit="1" customWidth="1"/>
    <col min="6" max="6" width="14.1796875" bestFit="1" customWidth="1"/>
    <col min="8" max="8" width="24.26953125" style="26" bestFit="1" customWidth="1"/>
    <col min="9" max="9" width="11.08984375" bestFit="1" customWidth="1"/>
    <col min="10" max="10" width="11.26953125" bestFit="1" customWidth="1"/>
    <col min="11" max="11" width="21.36328125" bestFit="1" customWidth="1"/>
  </cols>
  <sheetData>
    <row r="1" spans="1:11" ht="29" x14ac:dyDescent="0.35">
      <c r="A1" s="31" t="s">
        <v>0</v>
      </c>
      <c r="B1" s="32" t="s">
        <v>4</v>
      </c>
      <c r="C1" s="32" t="s">
        <v>5</v>
      </c>
      <c r="D1" s="32" t="s">
        <v>3</v>
      </c>
      <c r="E1" s="33" t="s">
        <v>16</v>
      </c>
      <c r="F1" s="65" t="s">
        <v>193</v>
      </c>
      <c r="H1" s="29" t="s">
        <v>34</v>
      </c>
      <c r="I1" s="3" t="s">
        <v>36</v>
      </c>
      <c r="J1" s="3" t="s">
        <v>37</v>
      </c>
      <c r="K1" s="3" t="s">
        <v>38</v>
      </c>
    </row>
    <row r="2" spans="1:11" x14ac:dyDescent="0.35">
      <c r="A2" s="35">
        <v>45931</v>
      </c>
      <c r="B2" s="23"/>
      <c r="C2" s="23"/>
      <c r="D2" s="23"/>
      <c r="E2" s="7"/>
      <c r="F2" s="36"/>
      <c r="H2" s="26" t="s">
        <v>72</v>
      </c>
      <c r="I2">
        <v>0</v>
      </c>
    </row>
    <row r="3" spans="1:11" x14ac:dyDescent="0.35">
      <c r="A3" s="35"/>
      <c r="B3" s="23"/>
      <c r="C3" s="23"/>
      <c r="D3" s="23"/>
      <c r="E3" s="22"/>
      <c r="F3" s="36"/>
      <c r="H3" s="26">
        <v>45931</v>
      </c>
    </row>
    <row r="4" spans="1:11" x14ac:dyDescent="0.35">
      <c r="A4" s="35"/>
      <c r="B4" s="23"/>
      <c r="C4" s="23"/>
      <c r="D4" s="23"/>
      <c r="E4" s="22"/>
      <c r="F4" s="36"/>
      <c r="H4" s="26" t="s">
        <v>35</v>
      </c>
      <c r="I4">
        <v>0</v>
      </c>
    </row>
    <row r="5" spans="1:11" x14ac:dyDescent="0.35">
      <c r="A5" s="35"/>
      <c r="B5" s="23"/>
      <c r="C5" s="23"/>
      <c r="D5" s="23"/>
      <c r="E5" s="22"/>
      <c r="F5" s="36"/>
      <c r="H5"/>
    </row>
    <row r="6" spans="1:11" x14ac:dyDescent="0.35">
      <c r="A6" s="35"/>
      <c r="B6" s="23"/>
      <c r="C6" s="23"/>
      <c r="D6" s="23"/>
      <c r="E6" s="22"/>
      <c r="F6" s="36"/>
      <c r="H6"/>
    </row>
    <row r="7" spans="1:11" x14ac:dyDescent="0.35">
      <c r="A7" s="35"/>
      <c r="B7" s="23"/>
      <c r="C7" s="23"/>
      <c r="D7" s="23"/>
      <c r="E7" s="22"/>
      <c r="F7" s="36"/>
      <c r="H7"/>
    </row>
    <row r="8" spans="1:11" x14ac:dyDescent="0.35">
      <c r="A8" s="35"/>
      <c r="B8" s="23"/>
      <c r="C8" s="23"/>
      <c r="D8" s="23"/>
      <c r="E8" s="22"/>
      <c r="F8" s="36"/>
      <c r="H8"/>
    </row>
    <row r="9" spans="1:11" x14ac:dyDescent="0.35">
      <c r="A9" s="35"/>
      <c r="B9" s="23"/>
      <c r="C9" s="23"/>
      <c r="D9" s="23"/>
      <c r="E9" s="22"/>
      <c r="F9" s="36"/>
      <c r="H9"/>
    </row>
    <row r="10" spans="1:11" x14ac:dyDescent="0.35">
      <c r="A10" s="35"/>
      <c r="B10" s="23"/>
      <c r="C10" s="23"/>
      <c r="D10" s="23"/>
      <c r="E10" s="22"/>
      <c r="F10" s="36"/>
      <c r="H10"/>
    </row>
    <row r="11" spans="1:11" x14ac:dyDescent="0.35">
      <c r="A11" s="35"/>
      <c r="B11" s="23"/>
      <c r="C11" s="23"/>
      <c r="D11" s="23"/>
      <c r="E11" s="22"/>
      <c r="F11" s="36"/>
      <c r="H11"/>
    </row>
    <row r="12" spans="1:11" x14ac:dyDescent="0.35">
      <c r="A12" s="35"/>
      <c r="B12" s="23"/>
      <c r="C12" s="23"/>
      <c r="D12" s="23"/>
      <c r="E12" s="22"/>
      <c r="F12" s="36"/>
      <c r="H12"/>
    </row>
    <row r="13" spans="1:11" x14ac:dyDescent="0.35">
      <c r="A13" s="35"/>
      <c r="B13" s="23"/>
      <c r="C13" s="23"/>
      <c r="D13" s="23"/>
      <c r="E13" s="22"/>
      <c r="F13" s="36"/>
      <c r="H13"/>
    </row>
    <row r="14" spans="1:11" x14ac:dyDescent="0.35">
      <c r="A14" s="35"/>
      <c r="B14" s="23"/>
      <c r="C14" s="23"/>
      <c r="D14" s="23"/>
      <c r="E14" s="22"/>
      <c r="F14" s="36"/>
      <c r="H14"/>
    </row>
    <row r="15" spans="1:11" x14ac:dyDescent="0.35">
      <c r="A15" s="35"/>
      <c r="B15" s="23"/>
      <c r="C15" s="23"/>
      <c r="D15" s="23"/>
      <c r="E15" s="22"/>
      <c r="F15" s="36"/>
      <c r="H15"/>
    </row>
    <row r="16" spans="1:11" x14ac:dyDescent="0.35">
      <c r="A16" s="35"/>
      <c r="B16" s="23"/>
      <c r="C16" s="23"/>
      <c r="D16" s="23"/>
      <c r="E16" s="22"/>
      <c r="F16" s="36"/>
      <c r="H16"/>
    </row>
    <row r="17" spans="1:8" x14ac:dyDescent="0.35">
      <c r="A17" s="35"/>
      <c r="B17" s="23"/>
      <c r="C17" s="23"/>
      <c r="D17" s="23"/>
      <c r="E17" s="22"/>
      <c r="F17" s="36"/>
      <c r="H17"/>
    </row>
    <row r="18" spans="1:8" x14ac:dyDescent="0.35">
      <c r="A18" s="35"/>
      <c r="B18" s="23"/>
      <c r="C18" s="23"/>
      <c r="D18" s="23"/>
      <c r="E18" s="22"/>
      <c r="F18" s="36"/>
      <c r="H18"/>
    </row>
    <row r="19" spans="1:8" x14ac:dyDescent="0.35">
      <c r="A19" s="35"/>
      <c r="B19" s="23"/>
      <c r="C19" s="23"/>
      <c r="D19" s="23"/>
      <c r="E19" s="22"/>
      <c r="F19" s="36"/>
      <c r="H19"/>
    </row>
    <row r="20" spans="1:8" x14ac:dyDescent="0.35">
      <c r="A20" s="35"/>
      <c r="B20" s="23"/>
      <c r="C20" s="23"/>
      <c r="D20" s="23"/>
      <c r="E20" s="22"/>
      <c r="F20" s="36"/>
      <c r="H20"/>
    </row>
    <row r="21" spans="1:8" x14ac:dyDescent="0.35">
      <c r="A21" s="35"/>
      <c r="B21" s="23"/>
      <c r="C21" s="23"/>
      <c r="D21" s="23"/>
      <c r="E21" s="22"/>
      <c r="F21" s="36"/>
      <c r="H21"/>
    </row>
    <row r="22" spans="1:8" x14ac:dyDescent="0.35">
      <c r="A22" s="35"/>
      <c r="B22" s="23"/>
      <c r="C22" s="23"/>
      <c r="D22" s="23"/>
      <c r="E22" s="22"/>
      <c r="F22" s="36"/>
      <c r="H22"/>
    </row>
    <row r="23" spans="1:8" x14ac:dyDescent="0.35">
      <c r="A23" s="35"/>
      <c r="B23" s="23"/>
      <c r="C23" s="23"/>
      <c r="D23" s="23"/>
      <c r="E23" s="22"/>
      <c r="F23" s="36"/>
      <c r="H23"/>
    </row>
    <row r="24" spans="1:8" x14ac:dyDescent="0.35">
      <c r="A24" s="35"/>
      <c r="B24" s="23"/>
      <c r="C24" s="23"/>
      <c r="D24" s="23"/>
      <c r="E24" s="22"/>
      <c r="F24" s="36"/>
      <c r="H24"/>
    </row>
    <row r="25" spans="1:8" x14ac:dyDescent="0.35">
      <c r="A25" s="35"/>
      <c r="B25" s="23"/>
      <c r="C25" s="23"/>
      <c r="D25" s="23"/>
      <c r="E25" s="22"/>
      <c r="F25" s="36"/>
      <c r="H25"/>
    </row>
    <row r="26" spans="1:8" x14ac:dyDescent="0.35">
      <c r="A26" s="35"/>
      <c r="B26" s="23"/>
      <c r="C26" s="23"/>
      <c r="D26" s="23"/>
      <c r="E26" s="22"/>
      <c r="F26" s="36"/>
      <c r="H26"/>
    </row>
    <row r="27" spans="1:8" x14ac:dyDescent="0.35">
      <c r="A27" s="35"/>
      <c r="B27" s="23"/>
      <c r="C27" s="23"/>
      <c r="D27" s="23"/>
      <c r="E27" s="23"/>
      <c r="F27" s="36"/>
      <c r="H27"/>
    </row>
    <row r="28" spans="1:8" x14ac:dyDescent="0.35">
      <c r="A28" s="35"/>
      <c r="B28" s="23"/>
      <c r="C28" s="23"/>
      <c r="D28" s="23"/>
      <c r="E28" s="22"/>
      <c r="F28" s="36"/>
      <c r="H28"/>
    </row>
    <row r="29" spans="1:8" x14ac:dyDescent="0.35">
      <c r="A29" s="35"/>
      <c r="B29" s="23"/>
      <c r="C29" s="23"/>
      <c r="D29" s="23"/>
      <c r="E29" s="22"/>
      <c r="F29" s="36"/>
      <c r="H29"/>
    </row>
    <row r="30" spans="1:8" x14ac:dyDescent="0.35">
      <c r="A30" s="35"/>
      <c r="B30" s="23"/>
      <c r="C30" s="23"/>
      <c r="D30" s="23"/>
      <c r="E30" s="22"/>
      <c r="F30" s="36"/>
      <c r="H30"/>
    </row>
    <row r="31" spans="1:8" x14ac:dyDescent="0.35">
      <c r="A31" s="35"/>
      <c r="B31" s="23"/>
      <c r="C31" s="23"/>
      <c r="D31" s="23"/>
      <c r="E31" s="22"/>
      <c r="F31" s="36"/>
      <c r="H31"/>
    </row>
    <row r="32" spans="1:8" x14ac:dyDescent="0.35">
      <c r="A32" s="35"/>
      <c r="B32" s="23"/>
      <c r="C32" s="23"/>
      <c r="D32" s="23"/>
      <c r="E32" s="22"/>
      <c r="F32" s="36"/>
      <c r="H32"/>
    </row>
    <row r="33" spans="1:8" x14ac:dyDescent="0.35">
      <c r="A33" s="35"/>
      <c r="B33" s="23"/>
      <c r="C33" s="23"/>
      <c r="D33" s="23"/>
      <c r="E33" s="22"/>
      <c r="F33" s="36"/>
      <c r="H33"/>
    </row>
    <row r="34" spans="1:8" x14ac:dyDescent="0.35">
      <c r="A34" s="35"/>
      <c r="B34" s="23"/>
      <c r="C34" s="23"/>
      <c r="D34" s="23"/>
      <c r="E34" s="22"/>
      <c r="F34" s="36"/>
      <c r="H34"/>
    </row>
    <row r="35" spans="1:8" x14ac:dyDescent="0.35">
      <c r="A35" s="35"/>
      <c r="B35" s="23"/>
      <c r="C35" s="23"/>
      <c r="D35" s="23"/>
      <c r="E35" s="22"/>
      <c r="F35" s="36"/>
    </row>
    <row r="36" spans="1:8" x14ac:dyDescent="0.35">
      <c r="A36" s="35"/>
      <c r="B36" s="23"/>
      <c r="C36" s="23"/>
      <c r="D36" s="23"/>
      <c r="E36" s="22"/>
      <c r="F36" s="36"/>
    </row>
    <row r="37" spans="1:8" x14ac:dyDescent="0.35">
      <c r="A37" s="35"/>
      <c r="B37" s="23"/>
      <c r="C37" s="23"/>
      <c r="D37" s="23"/>
      <c r="E37" s="22"/>
      <c r="F37" s="36"/>
    </row>
    <row r="38" spans="1:8" x14ac:dyDescent="0.35">
      <c r="A38" s="35"/>
      <c r="B38" s="23"/>
      <c r="C38" s="23"/>
      <c r="D38" s="23"/>
      <c r="E38" s="22"/>
      <c r="F38" s="36"/>
    </row>
    <row r="39" spans="1:8" x14ac:dyDescent="0.35">
      <c r="A39" s="35"/>
      <c r="B39" s="23"/>
      <c r="C39" s="23"/>
      <c r="D39" s="23"/>
      <c r="E39" s="22"/>
      <c r="F39" s="36"/>
    </row>
    <row r="40" spans="1:8" x14ac:dyDescent="0.35">
      <c r="A40" s="35"/>
      <c r="B40" s="23"/>
      <c r="C40" s="23"/>
      <c r="D40" s="23"/>
      <c r="E40" s="22"/>
      <c r="F40" s="36"/>
    </row>
    <row r="41" spans="1:8" x14ac:dyDescent="0.35">
      <c r="A41" s="35"/>
      <c r="B41" s="23"/>
      <c r="C41" s="23"/>
      <c r="D41" s="23"/>
      <c r="E41" s="22"/>
      <c r="F41" s="36"/>
    </row>
    <row r="42" spans="1:8" x14ac:dyDescent="0.35">
      <c r="A42" s="35"/>
      <c r="B42" s="23"/>
      <c r="C42" s="23"/>
      <c r="D42" s="23"/>
      <c r="E42" s="22"/>
      <c r="F42" s="36"/>
    </row>
    <row r="43" spans="1:8" x14ac:dyDescent="0.35">
      <c r="A43" s="35"/>
      <c r="B43" s="23"/>
      <c r="C43" s="23"/>
      <c r="D43" s="23"/>
      <c r="E43" s="22"/>
      <c r="F43" s="36"/>
    </row>
    <row r="44" spans="1:8" x14ac:dyDescent="0.35">
      <c r="A44" s="35"/>
      <c r="B44" s="23"/>
      <c r="C44" s="23"/>
      <c r="D44" s="23"/>
      <c r="E44" s="22"/>
      <c r="F44" s="36"/>
    </row>
    <row r="45" spans="1:8" x14ac:dyDescent="0.35">
      <c r="A45" s="35"/>
      <c r="B45" s="23"/>
      <c r="C45" s="23"/>
      <c r="D45" s="23"/>
      <c r="E45" s="22"/>
      <c r="F45" s="36"/>
    </row>
    <row r="46" spans="1:8" x14ac:dyDescent="0.35">
      <c r="A46" s="35"/>
      <c r="B46" s="23"/>
      <c r="C46" s="23"/>
      <c r="D46" s="23"/>
      <c r="E46" s="22"/>
      <c r="F46" s="36"/>
    </row>
    <row r="47" spans="1:8" x14ac:dyDescent="0.35">
      <c r="A47" s="35"/>
      <c r="B47" s="23"/>
      <c r="C47" s="23"/>
      <c r="D47" s="23"/>
      <c r="E47" s="22"/>
      <c r="F47" s="36"/>
    </row>
    <row r="48" spans="1:8" x14ac:dyDescent="0.35">
      <c r="A48" s="35"/>
      <c r="B48" s="23"/>
      <c r="C48" s="23"/>
      <c r="D48" s="23"/>
      <c r="E48" s="22"/>
      <c r="F48" s="36"/>
    </row>
    <row r="49" spans="1:6" x14ac:dyDescent="0.35">
      <c r="A49" s="35"/>
      <c r="B49" s="23"/>
      <c r="C49" s="23"/>
      <c r="D49" s="23"/>
      <c r="E49" s="22"/>
      <c r="F49" s="36"/>
    </row>
    <row r="50" spans="1:6" x14ac:dyDescent="0.35">
      <c r="A50" s="35"/>
      <c r="B50" s="23"/>
      <c r="C50" s="23"/>
      <c r="D50" s="23"/>
      <c r="E50" s="22"/>
      <c r="F50" s="36"/>
    </row>
    <row r="51" spans="1:6" x14ac:dyDescent="0.35">
      <c r="A51" s="35"/>
      <c r="B51" s="23"/>
      <c r="C51" s="23"/>
      <c r="D51" s="23"/>
      <c r="E51" s="22"/>
      <c r="F51" s="36"/>
    </row>
    <row r="52" spans="1:6" x14ac:dyDescent="0.35">
      <c r="A52" s="35"/>
      <c r="B52" s="23"/>
      <c r="C52" s="23"/>
      <c r="D52" s="23"/>
      <c r="E52" s="22"/>
      <c r="F52" s="36"/>
    </row>
    <row r="53" spans="1:6" x14ac:dyDescent="0.35">
      <c r="A53" s="35"/>
      <c r="B53" s="23"/>
      <c r="C53" s="23"/>
      <c r="D53" s="23"/>
      <c r="E53" s="22"/>
      <c r="F53" s="36"/>
    </row>
    <row r="54" spans="1:6" x14ac:dyDescent="0.35">
      <c r="A54" s="35"/>
      <c r="B54" s="23"/>
      <c r="C54" s="23"/>
      <c r="D54" s="23"/>
      <c r="E54" s="22"/>
      <c r="F54" s="36"/>
    </row>
    <row r="55" spans="1:6" x14ac:dyDescent="0.35">
      <c r="A55" s="35"/>
      <c r="B55" s="23"/>
      <c r="C55" s="23"/>
      <c r="D55" s="23"/>
      <c r="E55" s="22"/>
      <c r="F55" s="36"/>
    </row>
    <row r="56" spans="1:6" x14ac:dyDescent="0.35">
      <c r="A56" s="35"/>
      <c r="B56" s="23"/>
      <c r="C56" s="23"/>
      <c r="D56" s="23"/>
      <c r="E56" s="22"/>
      <c r="F56" s="36"/>
    </row>
    <row r="57" spans="1:6" x14ac:dyDescent="0.35">
      <c r="A57" s="35"/>
      <c r="B57" s="23"/>
      <c r="C57" s="23"/>
      <c r="D57" s="23"/>
      <c r="E57" s="22"/>
      <c r="F57" s="36"/>
    </row>
    <row r="58" spans="1:6" x14ac:dyDescent="0.35">
      <c r="A58" s="35"/>
      <c r="B58" s="23"/>
      <c r="C58" s="23"/>
      <c r="D58" s="23"/>
      <c r="E58" s="22"/>
      <c r="F58" s="36"/>
    </row>
    <row r="59" spans="1:6" x14ac:dyDescent="0.35">
      <c r="A59" s="35"/>
      <c r="B59" s="23"/>
      <c r="C59" s="23"/>
      <c r="D59" s="23"/>
      <c r="E59" s="22"/>
      <c r="F59" s="36"/>
    </row>
    <row r="60" spans="1:6" x14ac:dyDescent="0.35">
      <c r="A60" s="35"/>
      <c r="B60" s="23"/>
      <c r="C60" s="23"/>
      <c r="D60" s="23"/>
      <c r="E60" s="22"/>
      <c r="F60" s="36"/>
    </row>
    <row r="61" spans="1:6" x14ac:dyDescent="0.35">
      <c r="A61" s="35"/>
      <c r="B61" s="23"/>
      <c r="C61" s="23"/>
      <c r="D61" s="23"/>
      <c r="E61" s="22"/>
      <c r="F61" s="36"/>
    </row>
    <row r="62" spans="1:6" x14ac:dyDescent="0.35">
      <c r="A62" s="35"/>
      <c r="B62" s="23"/>
      <c r="C62" s="23"/>
      <c r="D62" s="23"/>
      <c r="E62" s="22"/>
      <c r="F62" s="36"/>
    </row>
    <row r="63" spans="1:6" x14ac:dyDescent="0.35">
      <c r="A63" s="35"/>
      <c r="B63" s="23"/>
      <c r="C63" s="23"/>
      <c r="D63" s="23"/>
      <c r="E63" s="22"/>
      <c r="F63" s="36"/>
    </row>
    <row r="64" spans="1:6" x14ac:dyDescent="0.35">
      <c r="A64" s="35"/>
      <c r="B64" s="23"/>
      <c r="C64" s="23"/>
      <c r="D64" s="23"/>
      <c r="E64" s="22"/>
      <c r="F64" s="36"/>
    </row>
    <row r="65" spans="1:6" x14ac:dyDescent="0.35">
      <c r="A65" s="35"/>
      <c r="B65" s="23"/>
      <c r="C65" s="23"/>
      <c r="D65" s="23"/>
      <c r="E65" s="22"/>
      <c r="F65" s="36"/>
    </row>
    <row r="66" spans="1:6" x14ac:dyDescent="0.35">
      <c r="A66" s="35"/>
      <c r="B66" s="23"/>
      <c r="C66" s="23"/>
      <c r="D66" s="23"/>
      <c r="E66" s="22"/>
      <c r="F66" s="36"/>
    </row>
    <row r="67" spans="1:6" x14ac:dyDescent="0.35">
      <c r="A67" s="35"/>
      <c r="B67" s="23"/>
      <c r="C67" s="23"/>
      <c r="D67" s="23"/>
      <c r="E67" s="22"/>
      <c r="F67" s="36"/>
    </row>
    <row r="68" spans="1:6" x14ac:dyDescent="0.35">
      <c r="A68" s="35"/>
      <c r="B68" s="23"/>
      <c r="C68" s="23"/>
      <c r="D68" s="23"/>
      <c r="E68" s="22"/>
      <c r="F68" s="36"/>
    </row>
    <row r="69" spans="1:6" x14ac:dyDescent="0.35">
      <c r="A69" s="35"/>
      <c r="B69" s="23"/>
      <c r="C69" s="23"/>
      <c r="D69" s="23"/>
      <c r="E69" s="22"/>
      <c r="F69" s="36"/>
    </row>
    <row r="70" spans="1:6" x14ac:dyDescent="0.35">
      <c r="A70" s="35"/>
      <c r="B70" s="23"/>
      <c r="C70" s="23"/>
      <c r="D70" s="23"/>
      <c r="E70" s="22"/>
      <c r="F70" s="36"/>
    </row>
    <row r="71" spans="1:6" x14ac:dyDescent="0.35">
      <c r="A71" s="35"/>
      <c r="B71" s="23"/>
      <c r="C71" s="23"/>
      <c r="D71" s="23"/>
      <c r="E71" s="22"/>
      <c r="F71" s="36"/>
    </row>
    <row r="72" spans="1:6" x14ac:dyDescent="0.35">
      <c r="A72" s="35"/>
      <c r="B72" s="23"/>
      <c r="C72" s="23"/>
      <c r="D72" s="23"/>
      <c r="E72" s="22"/>
      <c r="F72" s="36"/>
    </row>
    <row r="73" spans="1:6" x14ac:dyDescent="0.35">
      <c r="A73" s="35"/>
      <c r="B73" s="23"/>
      <c r="C73" s="23"/>
      <c r="D73" s="23"/>
      <c r="E73" s="22"/>
      <c r="F73" s="36"/>
    </row>
    <row r="74" spans="1:6" x14ac:dyDescent="0.35">
      <c r="A74" s="35"/>
      <c r="B74" s="23"/>
      <c r="C74" s="23"/>
      <c r="D74" s="23"/>
      <c r="E74" s="22"/>
      <c r="F74" s="36"/>
    </row>
    <row r="75" spans="1:6" x14ac:dyDescent="0.35">
      <c r="A75" s="35"/>
      <c r="B75" s="23"/>
      <c r="C75" s="23"/>
      <c r="D75" s="23"/>
      <c r="E75" s="22"/>
      <c r="F75" s="36"/>
    </row>
    <row r="76" spans="1:6" x14ac:dyDescent="0.35">
      <c r="A76" s="35"/>
      <c r="B76" s="23"/>
      <c r="C76" s="23"/>
      <c r="D76" s="23"/>
      <c r="E76" s="22"/>
      <c r="F76" s="36"/>
    </row>
    <row r="77" spans="1:6" x14ac:dyDescent="0.35">
      <c r="A77" s="35"/>
      <c r="B77" s="23"/>
      <c r="C77" s="23"/>
      <c r="D77" s="23"/>
      <c r="E77" s="22"/>
      <c r="F77" s="36"/>
    </row>
    <row r="78" spans="1:6" x14ac:dyDescent="0.35">
      <c r="A78" s="35"/>
      <c r="B78" s="23"/>
      <c r="C78" s="23"/>
      <c r="D78" s="23"/>
      <c r="E78" s="22"/>
      <c r="F78" s="36"/>
    </row>
    <row r="79" spans="1:6" x14ac:dyDescent="0.35">
      <c r="A79" s="35"/>
      <c r="B79" s="23"/>
      <c r="C79" s="23"/>
      <c r="D79" s="23"/>
      <c r="E79" s="22"/>
      <c r="F79" s="36"/>
    </row>
    <row r="80" spans="1:6" x14ac:dyDescent="0.35">
      <c r="A80" s="35"/>
      <c r="B80" s="23"/>
      <c r="C80" s="23"/>
      <c r="D80" s="23"/>
      <c r="E80" s="22"/>
      <c r="F80" s="36"/>
    </row>
    <row r="81" spans="1:6" x14ac:dyDescent="0.35">
      <c r="A81" s="35"/>
      <c r="B81" s="23"/>
      <c r="C81" s="23"/>
      <c r="D81" s="23"/>
      <c r="E81" s="22"/>
      <c r="F81" s="36"/>
    </row>
    <row r="82" spans="1:6" x14ac:dyDescent="0.35">
      <c r="A82" s="35"/>
      <c r="B82" s="23"/>
      <c r="C82" s="23"/>
      <c r="D82" s="23"/>
      <c r="E82" s="22"/>
      <c r="F82" s="36"/>
    </row>
    <row r="83" spans="1:6" x14ac:dyDescent="0.35">
      <c r="A83" s="35"/>
      <c r="B83" s="23"/>
      <c r="C83" s="23"/>
      <c r="D83" s="23"/>
      <c r="E83" s="22"/>
      <c r="F83" s="36"/>
    </row>
    <row r="84" spans="1:6" x14ac:dyDescent="0.35">
      <c r="A84" s="35"/>
      <c r="B84" s="23"/>
      <c r="C84" s="23"/>
      <c r="D84" s="23"/>
      <c r="E84" s="22"/>
      <c r="F84" s="36"/>
    </row>
    <row r="85" spans="1:6" x14ac:dyDescent="0.35">
      <c r="A85" s="35"/>
      <c r="B85" s="23"/>
      <c r="C85" s="23"/>
      <c r="D85" s="23"/>
      <c r="E85" s="22"/>
      <c r="F85" s="36"/>
    </row>
    <row r="86" spans="1:6" x14ac:dyDescent="0.35">
      <c r="A86" s="35"/>
      <c r="B86" s="23"/>
      <c r="C86" s="23"/>
      <c r="D86" s="23"/>
      <c r="E86" s="22"/>
      <c r="F86" s="36"/>
    </row>
    <row r="87" spans="1:6" x14ac:dyDescent="0.35">
      <c r="A87" s="35"/>
      <c r="B87" s="23"/>
      <c r="C87" s="23"/>
      <c r="D87" s="23"/>
      <c r="E87" s="22"/>
      <c r="F87" s="36"/>
    </row>
    <row r="88" spans="1:6" x14ac:dyDescent="0.35">
      <c r="A88" s="35"/>
      <c r="B88" s="23"/>
      <c r="C88" s="23"/>
      <c r="D88" s="23"/>
      <c r="E88" s="22"/>
      <c r="F88" s="36"/>
    </row>
    <row r="89" spans="1:6" x14ac:dyDescent="0.35">
      <c r="A89" s="35"/>
      <c r="B89" s="23"/>
      <c r="C89" s="23"/>
      <c r="D89" s="23"/>
      <c r="E89" s="22"/>
      <c r="F89" s="36"/>
    </row>
    <row r="90" spans="1:6" x14ac:dyDescent="0.35">
      <c r="A90" s="35"/>
      <c r="B90" s="23"/>
      <c r="C90" s="23"/>
      <c r="D90" s="23"/>
      <c r="E90" s="22"/>
      <c r="F90" s="36"/>
    </row>
    <row r="91" spans="1:6" x14ac:dyDescent="0.35">
      <c r="A91" s="35"/>
      <c r="B91" s="23"/>
      <c r="C91" s="23"/>
      <c r="D91" s="23"/>
      <c r="E91" s="22"/>
      <c r="F91" s="36"/>
    </row>
    <row r="92" spans="1:6" x14ac:dyDescent="0.35">
      <c r="A92" s="35"/>
      <c r="B92" s="23"/>
      <c r="C92" s="23"/>
      <c r="D92" s="23"/>
      <c r="E92" s="22"/>
      <c r="F92" s="36"/>
    </row>
    <row r="93" spans="1:6" x14ac:dyDescent="0.35">
      <c r="A93" s="35"/>
      <c r="B93" s="23"/>
      <c r="C93" s="23"/>
      <c r="D93" s="23"/>
      <c r="E93" s="22"/>
      <c r="F93" s="36"/>
    </row>
    <row r="94" spans="1:6" x14ac:dyDescent="0.35">
      <c r="A94" s="35"/>
      <c r="B94" s="23"/>
      <c r="C94" s="23"/>
      <c r="D9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94" s="22"/>
      <c r="F94" s="36"/>
    </row>
    <row r="95" spans="1:6" x14ac:dyDescent="0.35">
      <c r="A95" s="35"/>
      <c r="B95" s="23"/>
      <c r="C95" s="23"/>
      <c r="D9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95" s="22"/>
      <c r="F95" s="36"/>
    </row>
    <row r="96" spans="1:6" x14ac:dyDescent="0.35">
      <c r="A96" s="35"/>
      <c r="B96" s="23"/>
      <c r="C96" s="23"/>
      <c r="D9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96" s="22"/>
      <c r="F96" s="36"/>
    </row>
    <row r="97" spans="1:6" x14ac:dyDescent="0.35">
      <c r="A97" s="35"/>
      <c r="B97" s="23"/>
      <c r="C97" s="23"/>
      <c r="D9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97" s="22"/>
      <c r="F97" s="36"/>
    </row>
    <row r="98" spans="1:6" x14ac:dyDescent="0.35">
      <c r="A98" s="35"/>
      <c r="B98" s="23"/>
      <c r="C98" s="23"/>
      <c r="D9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98" s="22"/>
      <c r="F98" s="36"/>
    </row>
    <row r="99" spans="1:6" x14ac:dyDescent="0.35">
      <c r="A99" s="35"/>
      <c r="B99" s="23"/>
      <c r="C99" s="23"/>
      <c r="D9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99" s="22"/>
      <c r="F99" s="36"/>
    </row>
    <row r="100" spans="1:6" x14ac:dyDescent="0.35">
      <c r="A100" s="35"/>
      <c r="B100" s="23"/>
      <c r="C100" s="23"/>
      <c r="D10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0" s="22"/>
      <c r="F100" s="36"/>
    </row>
    <row r="101" spans="1:6" x14ac:dyDescent="0.35">
      <c r="A101" s="35"/>
      <c r="B101" s="23"/>
      <c r="C101" s="23"/>
      <c r="D10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1" s="22"/>
      <c r="F101" s="36"/>
    </row>
    <row r="102" spans="1:6" x14ac:dyDescent="0.35">
      <c r="A102" s="35"/>
      <c r="B102" s="23"/>
      <c r="C102" s="23"/>
      <c r="D10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2" s="22"/>
      <c r="F102" s="36"/>
    </row>
    <row r="103" spans="1:6" x14ac:dyDescent="0.35">
      <c r="A103" s="35"/>
      <c r="B103" s="23"/>
      <c r="C103" s="23"/>
      <c r="D10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3" s="22"/>
      <c r="F103" s="36"/>
    </row>
    <row r="104" spans="1:6" x14ac:dyDescent="0.35">
      <c r="A104" s="35"/>
      <c r="B104" s="23"/>
      <c r="C104" s="23"/>
      <c r="D10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4" s="22"/>
      <c r="F104" s="36"/>
    </row>
    <row r="105" spans="1:6" x14ac:dyDescent="0.35">
      <c r="A105" s="35"/>
      <c r="B105" s="23"/>
      <c r="C105" s="23"/>
      <c r="D10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5" s="22"/>
      <c r="F105" s="36"/>
    </row>
    <row r="106" spans="1:6" x14ac:dyDescent="0.35">
      <c r="A106" s="35"/>
      <c r="B106" s="23"/>
      <c r="C106" s="23"/>
      <c r="D10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6" s="22"/>
      <c r="F106" s="36"/>
    </row>
    <row r="107" spans="1:6" x14ac:dyDescent="0.35">
      <c r="A107" s="35"/>
      <c r="B107" s="23"/>
      <c r="C107" s="23"/>
      <c r="D10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7" s="22"/>
      <c r="F107" s="36"/>
    </row>
    <row r="108" spans="1:6" x14ac:dyDescent="0.35">
      <c r="A108" s="35"/>
      <c r="B108" s="23"/>
      <c r="C108" s="23"/>
      <c r="D10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8" s="22"/>
      <c r="F108" s="36"/>
    </row>
    <row r="109" spans="1:6" x14ac:dyDescent="0.35">
      <c r="A109" s="35"/>
      <c r="B109" s="23"/>
      <c r="C109" s="23"/>
      <c r="D10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09" s="22"/>
      <c r="F109" s="36"/>
    </row>
    <row r="110" spans="1:6" x14ac:dyDescent="0.35">
      <c r="A110" s="35"/>
      <c r="B110" s="23"/>
      <c r="C110" s="23"/>
      <c r="D11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0" s="22"/>
      <c r="F110" s="36"/>
    </row>
    <row r="111" spans="1:6" x14ac:dyDescent="0.35">
      <c r="A111" s="35"/>
      <c r="B111" s="23"/>
      <c r="C111" s="23"/>
      <c r="D11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1" s="22"/>
      <c r="F111" s="36"/>
    </row>
    <row r="112" spans="1:6" x14ac:dyDescent="0.35">
      <c r="A112" s="35"/>
      <c r="B112" s="23"/>
      <c r="C112" s="23"/>
      <c r="D11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2" s="22"/>
      <c r="F112" s="36"/>
    </row>
    <row r="113" spans="1:6" x14ac:dyDescent="0.35">
      <c r="A113" s="35"/>
      <c r="B113" s="23"/>
      <c r="C113" s="23"/>
      <c r="D11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3" s="22"/>
      <c r="F113" s="36"/>
    </row>
    <row r="114" spans="1:6" x14ac:dyDescent="0.35">
      <c r="A114" s="35"/>
      <c r="B114" s="23"/>
      <c r="C114" s="23"/>
      <c r="D11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4" s="22"/>
      <c r="F114" s="36"/>
    </row>
    <row r="115" spans="1:6" x14ac:dyDescent="0.35">
      <c r="A115" s="35"/>
      <c r="B115" s="23"/>
      <c r="C115" s="23"/>
      <c r="D11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5" s="22"/>
      <c r="F115" s="36"/>
    </row>
    <row r="116" spans="1:6" x14ac:dyDescent="0.35">
      <c r="A116" s="35"/>
      <c r="B116" s="23"/>
      <c r="C116" s="23"/>
      <c r="D11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6" s="22"/>
      <c r="F116" s="36"/>
    </row>
    <row r="117" spans="1:6" x14ac:dyDescent="0.35">
      <c r="A117" s="35"/>
      <c r="B117" s="23"/>
      <c r="C117" s="23"/>
      <c r="D11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7" s="22"/>
      <c r="F117" s="36"/>
    </row>
    <row r="118" spans="1:6" x14ac:dyDescent="0.35">
      <c r="A118" s="35"/>
      <c r="B118" s="23"/>
      <c r="C118" s="23"/>
      <c r="D11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8" s="22"/>
      <c r="F118" s="36"/>
    </row>
    <row r="119" spans="1:6" x14ac:dyDescent="0.35">
      <c r="A119" s="35"/>
      <c r="B119" s="23"/>
      <c r="C119" s="23"/>
      <c r="D11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19" s="44"/>
      <c r="F119" s="36"/>
    </row>
    <row r="120" spans="1:6" x14ac:dyDescent="0.35">
      <c r="A120" s="35"/>
      <c r="B120" s="23"/>
      <c r="C120" s="23"/>
      <c r="D12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0" s="22"/>
      <c r="F120" s="36"/>
    </row>
    <row r="121" spans="1:6" x14ac:dyDescent="0.35">
      <c r="A121" s="35"/>
      <c r="B121" s="23"/>
      <c r="C121" s="23"/>
      <c r="D12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1" s="22"/>
      <c r="F121" s="36"/>
    </row>
    <row r="122" spans="1:6" x14ac:dyDescent="0.35">
      <c r="A122" s="35"/>
      <c r="B122" s="23"/>
      <c r="C122" s="23"/>
      <c r="D12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2" s="22"/>
      <c r="F122" s="36"/>
    </row>
    <row r="123" spans="1:6" x14ac:dyDescent="0.35">
      <c r="A123" s="35"/>
      <c r="B123" s="23"/>
      <c r="C123" s="23"/>
      <c r="D12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3" s="22"/>
      <c r="F123" s="36"/>
    </row>
    <row r="124" spans="1:6" x14ac:dyDescent="0.35">
      <c r="A124" s="35"/>
      <c r="B124" s="23"/>
      <c r="C124" s="23"/>
      <c r="D12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4" s="22"/>
      <c r="F124" s="36"/>
    </row>
    <row r="125" spans="1:6" x14ac:dyDescent="0.35">
      <c r="A125" s="35"/>
      <c r="B125" s="23"/>
      <c r="C125" s="23"/>
      <c r="D12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5" s="22"/>
      <c r="F125" s="36"/>
    </row>
    <row r="126" spans="1:6" x14ac:dyDescent="0.35">
      <c r="A126" s="35"/>
      <c r="B126" s="23"/>
      <c r="C126" s="23"/>
      <c r="D12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6" s="22"/>
      <c r="F126" s="36"/>
    </row>
    <row r="127" spans="1:6" x14ac:dyDescent="0.35">
      <c r="A127" s="35"/>
      <c r="B127" s="23"/>
      <c r="C127" s="23"/>
      <c r="D12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7" s="22"/>
      <c r="F127" s="36"/>
    </row>
    <row r="128" spans="1:6" x14ac:dyDescent="0.35">
      <c r="A128" s="35"/>
      <c r="B128" s="23"/>
      <c r="C128" s="23"/>
      <c r="D12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8" s="22"/>
      <c r="F128" s="36"/>
    </row>
    <row r="129" spans="1:6" x14ac:dyDescent="0.35">
      <c r="A129" s="35"/>
      <c r="B129" s="23"/>
      <c r="C129" s="23"/>
      <c r="D12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29" s="22"/>
      <c r="F129" s="36"/>
    </row>
    <row r="130" spans="1:6" x14ac:dyDescent="0.35">
      <c r="A130" s="35"/>
      <c r="B130" s="23"/>
      <c r="C130" s="23"/>
      <c r="D13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0" s="22"/>
      <c r="F130" s="36"/>
    </row>
    <row r="131" spans="1:6" x14ac:dyDescent="0.35">
      <c r="A131" s="35"/>
      <c r="B131" s="23"/>
      <c r="C131" s="23"/>
      <c r="D13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1" s="22"/>
      <c r="F131" s="36"/>
    </row>
    <row r="132" spans="1:6" x14ac:dyDescent="0.35">
      <c r="A132" s="35"/>
      <c r="B132" s="23"/>
      <c r="C132" s="23"/>
      <c r="D13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2" s="22"/>
      <c r="F132" s="36"/>
    </row>
    <row r="133" spans="1:6" x14ac:dyDescent="0.35">
      <c r="A133" s="35"/>
      <c r="B133" s="23"/>
      <c r="C133" s="23"/>
      <c r="D13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3" s="22"/>
      <c r="F133" s="36"/>
    </row>
    <row r="134" spans="1:6" x14ac:dyDescent="0.35">
      <c r="A134" s="35"/>
      <c r="B134" s="23"/>
      <c r="C134" s="23"/>
      <c r="D13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4" s="22"/>
      <c r="F134" s="36"/>
    </row>
    <row r="135" spans="1:6" x14ac:dyDescent="0.35">
      <c r="A135" s="35"/>
      <c r="B135" s="23"/>
      <c r="C135" s="23"/>
      <c r="D13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5" s="22"/>
      <c r="F135" s="36"/>
    </row>
    <row r="136" spans="1:6" x14ac:dyDescent="0.35">
      <c r="A136" s="35"/>
      <c r="B136" s="23"/>
      <c r="C136" s="23"/>
      <c r="D13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6" s="22"/>
      <c r="F136" s="36"/>
    </row>
    <row r="137" spans="1:6" x14ac:dyDescent="0.35">
      <c r="A137" s="35"/>
      <c r="B137" s="23"/>
      <c r="C137" s="23"/>
      <c r="D13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7" s="22"/>
      <c r="F137" s="36"/>
    </row>
    <row r="138" spans="1:6" x14ac:dyDescent="0.35">
      <c r="A138" s="35"/>
      <c r="B138" s="23"/>
      <c r="C138" s="23"/>
      <c r="D13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8" s="22"/>
      <c r="F138" s="36"/>
    </row>
    <row r="139" spans="1:6" x14ac:dyDescent="0.35">
      <c r="A139" s="35"/>
      <c r="B139" s="23"/>
      <c r="C139" s="23"/>
      <c r="D13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39" s="22"/>
      <c r="F139" s="36"/>
    </row>
    <row r="140" spans="1:6" x14ac:dyDescent="0.35">
      <c r="A140" s="35"/>
      <c r="B140" s="23"/>
      <c r="C140" s="23"/>
      <c r="D14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0" s="22"/>
      <c r="F140" s="36"/>
    </row>
    <row r="141" spans="1:6" x14ac:dyDescent="0.35">
      <c r="A141" s="35"/>
      <c r="B141" s="23"/>
      <c r="C141" s="23"/>
      <c r="D14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1" s="22"/>
      <c r="F141" s="36"/>
    </row>
    <row r="142" spans="1:6" x14ac:dyDescent="0.35">
      <c r="A142" s="35"/>
      <c r="B142" s="23"/>
      <c r="C142" s="23"/>
      <c r="D14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2" s="22"/>
      <c r="F142" s="36"/>
    </row>
    <row r="143" spans="1:6" x14ac:dyDescent="0.35">
      <c r="A143" s="35"/>
      <c r="B143" s="23"/>
      <c r="C143" s="23"/>
      <c r="D14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3" s="22"/>
      <c r="F143" s="36"/>
    </row>
    <row r="144" spans="1:6" x14ac:dyDescent="0.35">
      <c r="A144" s="35"/>
      <c r="B144" s="23"/>
      <c r="C144" s="23"/>
      <c r="D14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4" s="22"/>
      <c r="F144" s="36"/>
    </row>
    <row r="145" spans="1:6" x14ac:dyDescent="0.35">
      <c r="A145" s="35"/>
      <c r="B145" s="23"/>
      <c r="C145" s="23"/>
      <c r="D14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5" s="22"/>
      <c r="F145" s="36"/>
    </row>
    <row r="146" spans="1:6" x14ac:dyDescent="0.35">
      <c r="A146" s="35"/>
      <c r="B146" s="23"/>
      <c r="C146" s="23"/>
      <c r="D14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6" s="22"/>
      <c r="F146" s="36"/>
    </row>
    <row r="147" spans="1:6" x14ac:dyDescent="0.35">
      <c r="A147" s="35"/>
      <c r="B147" s="23"/>
      <c r="C147" s="23"/>
      <c r="D14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7" s="22"/>
      <c r="F147" s="36"/>
    </row>
    <row r="148" spans="1:6" x14ac:dyDescent="0.35">
      <c r="A148" s="35"/>
      <c r="B148" s="23"/>
      <c r="C148" s="23"/>
      <c r="D14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8" s="22"/>
      <c r="F148" s="36"/>
    </row>
    <row r="149" spans="1:6" x14ac:dyDescent="0.35">
      <c r="A149" s="35"/>
      <c r="B149" s="23"/>
      <c r="C149" s="23"/>
      <c r="D14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49" s="22"/>
      <c r="F149" s="36"/>
    </row>
    <row r="150" spans="1:6" x14ac:dyDescent="0.35">
      <c r="A150" s="35"/>
      <c r="B150" s="23"/>
      <c r="C150" s="23"/>
      <c r="D15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0" s="22"/>
      <c r="F150" s="36"/>
    </row>
    <row r="151" spans="1:6" x14ac:dyDescent="0.35">
      <c r="A151" s="35"/>
      <c r="B151" s="23"/>
      <c r="C151" s="23"/>
      <c r="D15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1" s="22"/>
      <c r="F151" s="36"/>
    </row>
    <row r="152" spans="1:6" x14ac:dyDescent="0.35">
      <c r="A152" s="35"/>
      <c r="B152" s="23"/>
      <c r="C152" s="23"/>
      <c r="D15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2" s="22"/>
      <c r="F152" s="36"/>
    </row>
    <row r="153" spans="1:6" x14ac:dyDescent="0.35">
      <c r="A153" s="35"/>
      <c r="B153" s="23"/>
      <c r="C153" s="23"/>
      <c r="D15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3" s="22"/>
      <c r="F153" s="36"/>
    </row>
    <row r="154" spans="1:6" x14ac:dyDescent="0.35">
      <c r="A154" s="35"/>
      <c r="B154" s="23"/>
      <c r="C154" s="23"/>
      <c r="D15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4" s="22"/>
      <c r="F154" s="36"/>
    </row>
    <row r="155" spans="1:6" x14ac:dyDescent="0.35">
      <c r="A155" s="35"/>
      <c r="B155" s="23"/>
      <c r="C155" s="23"/>
      <c r="D15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5" s="22"/>
      <c r="F155" s="36"/>
    </row>
    <row r="156" spans="1:6" x14ac:dyDescent="0.35">
      <c r="A156" s="35"/>
      <c r="B156" s="23"/>
      <c r="C156" s="23"/>
      <c r="D15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6" s="22"/>
      <c r="F156" s="36"/>
    </row>
    <row r="157" spans="1:6" x14ac:dyDescent="0.35">
      <c r="A157" s="35"/>
      <c r="B157" s="23"/>
      <c r="C157" s="23"/>
      <c r="D15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7" s="22"/>
      <c r="F157" s="36"/>
    </row>
    <row r="158" spans="1:6" x14ac:dyDescent="0.35">
      <c r="A158" s="35"/>
      <c r="B158" s="23"/>
      <c r="C158" s="23"/>
      <c r="D15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8" s="22"/>
      <c r="F158" s="36"/>
    </row>
    <row r="159" spans="1:6" x14ac:dyDescent="0.35">
      <c r="A159" s="35"/>
      <c r="B159" s="23"/>
      <c r="C159" s="23"/>
      <c r="D15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59" s="22"/>
      <c r="F159" s="36"/>
    </row>
    <row r="160" spans="1:6" x14ac:dyDescent="0.35">
      <c r="A160" s="35"/>
      <c r="B160" s="23"/>
      <c r="C160" s="23"/>
      <c r="D16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0" s="22"/>
      <c r="F160" s="36"/>
    </row>
    <row r="161" spans="1:6" x14ac:dyDescent="0.35">
      <c r="A161" s="35"/>
      <c r="B161" s="23"/>
      <c r="C161" s="23"/>
      <c r="D16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1" s="22"/>
      <c r="F161" s="36"/>
    </row>
    <row r="162" spans="1:6" x14ac:dyDescent="0.35">
      <c r="A162" s="35"/>
      <c r="B162" s="23"/>
      <c r="C162" s="23"/>
      <c r="D16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2" s="22"/>
      <c r="F162" s="36"/>
    </row>
    <row r="163" spans="1:6" x14ac:dyDescent="0.35">
      <c r="A163" s="35"/>
      <c r="B163" s="23"/>
      <c r="C163" s="23"/>
      <c r="D16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3" s="22"/>
      <c r="F163" s="36"/>
    </row>
    <row r="164" spans="1:6" x14ac:dyDescent="0.35">
      <c r="A164" s="35"/>
      <c r="B164" s="23"/>
      <c r="C164" s="23"/>
      <c r="D16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4" s="22"/>
      <c r="F164" s="36"/>
    </row>
    <row r="165" spans="1:6" x14ac:dyDescent="0.35">
      <c r="A165" s="35"/>
      <c r="B165" s="23"/>
      <c r="C165" s="23"/>
      <c r="D16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5" s="22"/>
      <c r="F165" s="36"/>
    </row>
    <row r="166" spans="1:6" x14ac:dyDescent="0.35">
      <c r="A166" s="35"/>
      <c r="B166" s="23"/>
      <c r="C166" s="23"/>
      <c r="D16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6" s="22"/>
      <c r="F166" s="36"/>
    </row>
    <row r="167" spans="1:6" x14ac:dyDescent="0.35">
      <c r="A167" s="35"/>
      <c r="B167" s="23"/>
      <c r="C167" s="23"/>
      <c r="D16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7" s="22"/>
      <c r="F167" s="36"/>
    </row>
    <row r="168" spans="1:6" x14ac:dyDescent="0.35">
      <c r="A168" s="35"/>
      <c r="B168" s="23"/>
      <c r="C168" s="23"/>
      <c r="D16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8" s="22"/>
      <c r="F168" s="36"/>
    </row>
    <row r="169" spans="1:6" x14ac:dyDescent="0.35">
      <c r="A169" s="35"/>
      <c r="B169" s="23"/>
      <c r="C169" s="23"/>
      <c r="D16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69" s="22"/>
      <c r="F169" s="36"/>
    </row>
    <row r="170" spans="1:6" x14ac:dyDescent="0.35">
      <c r="A170" s="35"/>
      <c r="B170" s="23"/>
      <c r="C170" s="23"/>
      <c r="D17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0" s="22"/>
      <c r="F170" s="36"/>
    </row>
    <row r="171" spans="1:6" x14ac:dyDescent="0.35">
      <c r="A171" s="35"/>
      <c r="B171" s="23"/>
      <c r="C171" s="23"/>
      <c r="D17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1" s="22"/>
      <c r="F171" s="36"/>
    </row>
    <row r="172" spans="1:6" x14ac:dyDescent="0.35">
      <c r="A172" s="35"/>
      <c r="B172" s="23"/>
      <c r="C172" s="23"/>
      <c r="D17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2" s="22"/>
      <c r="F172" s="36"/>
    </row>
    <row r="173" spans="1:6" x14ac:dyDescent="0.35">
      <c r="A173" s="35"/>
      <c r="B173" s="23"/>
      <c r="C173" s="23"/>
      <c r="D17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3" s="22"/>
      <c r="F173" s="36"/>
    </row>
    <row r="174" spans="1:6" x14ac:dyDescent="0.35">
      <c r="A174" s="35"/>
      <c r="B174" s="23"/>
      <c r="C174" s="23"/>
      <c r="D17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4" s="22"/>
      <c r="F174" s="36"/>
    </row>
    <row r="175" spans="1:6" x14ac:dyDescent="0.35">
      <c r="A175" s="35"/>
      <c r="B175" s="23"/>
      <c r="C175" s="23"/>
      <c r="D17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5" s="22"/>
      <c r="F175" s="36"/>
    </row>
    <row r="176" spans="1:6" x14ac:dyDescent="0.35">
      <c r="A176" s="35"/>
      <c r="B176" s="23"/>
      <c r="C176" s="23"/>
      <c r="D17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6" s="22"/>
      <c r="F176" s="36"/>
    </row>
    <row r="177" spans="1:6" x14ac:dyDescent="0.35">
      <c r="A177" s="35"/>
      <c r="B177" s="23"/>
      <c r="C177" s="23"/>
      <c r="D17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7" s="22"/>
      <c r="F177" s="36"/>
    </row>
    <row r="178" spans="1:6" x14ac:dyDescent="0.35">
      <c r="A178" s="35"/>
      <c r="B178" s="23"/>
      <c r="C178" s="23"/>
      <c r="D17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8" s="22"/>
      <c r="F178" s="36"/>
    </row>
    <row r="179" spans="1:6" x14ac:dyDescent="0.35">
      <c r="A179" s="35"/>
      <c r="B179" s="23"/>
      <c r="C179" s="23"/>
      <c r="D17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79" s="22"/>
      <c r="F179" s="36"/>
    </row>
    <row r="180" spans="1:6" x14ac:dyDescent="0.35">
      <c r="A180" s="35"/>
      <c r="B180" s="23"/>
      <c r="C180" s="23"/>
      <c r="D18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0" s="22"/>
      <c r="F180" s="36"/>
    </row>
    <row r="181" spans="1:6" x14ac:dyDescent="0.35">
      <c r="A181" s="35"/>
      <c r="B181" s="23"/>
      <c r="C181" s="23"/>
      <c r="D18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1" s="22"/>
      <c r="F181" s="36"/>
    </row>
    <row r="182" spans="1:6" x14ac:dyDescent="0.35">
      <c r="A182" s="35"/>
      <c r="B182" s="23"/>
      <c r="C182" s="23"/>
      <c r="D18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2" s="22"/>
      <c r="F182" s="36"/>
    </row>
    <row r="183" spans="1:6" x14ac:dyDescent="0.35">
      <c r="A183" s="35"/>
      <c r="B183" s="23"/>
      <c r="C183" s="23"/>
      <c r="D18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3" s="22"/>
      <c r="F183" s="36"/>
    </row>
    <row r="184" spans="1:6" x14ac:dyDescent="0.35">
      <c r="A184" s="35"/>
      <c r="B184" s="23"/>
      <c r="C184" s="23"/>
      <c r="D18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4" s="22"/>
      <c r="F184" s="36"/>
    </row>
    <row r="185" spans="1:6" x14ac:dyDescent="0.35">
      <c r="A185" s="35"/>
      <c r="B185" s="23"/>
      <c r="C185" s="23"/>
      <c r="D18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5" s="22"/>
      <c r="F185" s="36"/>
    </row>
    <row r="186" spans="1:6" x14ac:dyDescent="0.35">
      <c r="A186" s="35"/>
      <c r="B186" s="23"/>
      <c r="C186" s="23"/>
      <c r="D18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6" s="22"/>
      <c r="F186" s="36"/>
    </row>
    <row r="187" spans="1:6" x14ac:dyDescent="0.35">
      <c r="A187" s="35"/>
      <c r="B187" s="23"/>
      <c r="C187" s="23"/>
      <c r="D18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7" s="22"/>
      <c r="F187" s="36"/>
    </row>
    <row r="188" spans="1:6" x14ac:dyDescent="0.35">
      <c r="A188" s="35"/>
      <c r="B188" s="23"/>
      <c r="C188" s="23"/>
      <c r="D18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8" s="22"/>
      <c r="F188" s="36"/>
    </row>
    <row r="189" spans="1:6" x14ac:dyDescent="0.35">
      <c r="A189" s="35"/>
      <c r="B189" s="23"/>
      <c r="C189" s="23"/>
      <c r="D18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89" s="22"/>
      <c r="F189" s="36"/>
    </row>
    <row r="190" spans="1:6" x14ac:dyDescent="0.35">
      <c r="A190" s="35"/>
      <c r="B190" s="23"/>
      <c r="C190" s="23"/>
      <c r="D19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0" s="22"/>
      <c r="F190" s="36"/>
    </row>
    <row r="191" spans="1:6" x14ac:dyDescent="0.35">
      <c r="A191" s="35"/>
      <c r="B191" s="23"/>
      <c r="C191" s="23"/>
      <c r="D19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1" s="22"/>
      <c r="F191" s="36"/>
    </row>
    <row r="192" spans="1:6" x14ac:dyDescent="0.35">
      <c r="A192" s="35"/>
      <c r="B192" s="23"/>
      <c r="C192" s="23"/>
      <c r="D19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2" s="22"/>
      <c r="F192" s="36"/>
    </row>
    <row r="193" spans="1:6" x14ac:dyDescent="0.35">
      <c r="A193" s="35"/>
      <c r="B193" s="23"/>
      <c r="C193" s="23"/>
      <c r="D19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3" s="22"/>
      <c r="F193" s="36"/>
    </row>
    <row r="194" spans="1:6" x14ac:dyDescent="0.35">
      <c r="A194" s="35"/>
      <c r="B194" s="23"/>
      <c r="C194" s="23"/>
      <c r="D19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4" s="22"/>
      <c r="F194" s="36"/>
    </row>
    <row r="195" spans="1:6" x14ac:dyDescent="0.35">
      <c r="A195" s="35"/>
      <c r="B195" s="23"/>
      <c r="C195" s="23"/>
      <c r="D19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5" s="22"/>
      <c r="F195" s="36"/>
    </row>
    <row r="196" spans="1:6" x14ac:dyDescent="0.35">
      <c r="A196" s="35"/>
      <c r="B196" s="23"/>
      <c r="C196" s="23"/>
      <c r="D19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6" s="22"/>
      <c r="F196" s="36"/>
    </row>
    <row r="197" spans="1:6" x14ac:dyDescent="0.35">
      <c r="A197" s="35"/>
      <c r="B197" s="23"/>
      <c r="C197" s="23"/>
      <c r="D19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7" s="22"/>
      <c r="F197" s="36"/>
    </row>
    <row r="198" spans="1:6" x14ac:dyDescent="0.35">
      <c r="A198" s="35"/>
      <c r="B198" s="23"/>
      <c r="C198" s="23"/>
      <c r="D19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8" s="22"/>
      <c r="F198" s="36"/>
    </row>
    <row r="199" spans="1:6" x14ac:dyDescent="0.35">
      <c r="A199" s="35"/>
      <c r="B199" s="23"/>
      <c r="C199" s="23"/>
      <c r="D19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199" s="22"/>
      <c r="F199" s="36"/>
    </row>
    <row r="200" spans="1:6" x14ac:dyDescent="0.35">
      <c r="A200" s="35"/>
      <c r="B200" s="23"/>
      <c r="C200" s="23"/>
      <c r="D20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0" s="22"/>
      <c r="F200" s="36"/>
    </row>
    <row r="201" spans="1:6" x14ac:dyDescent="0.35">
      <c r="A201" s="35"/>
      <c r="B201" s="23"/>
      <c r="C201" s="23"/>
      <c r="D20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1" s="22"/>
      <c r="F201" s="36"/>
    </row>
    <row r="202" spans="1:6" x14ac:dyDescent="0.35">
      <c r="A202" s="35"/>
      <c r="B202" s="23"/>
      <c r="C202" s="23"/>
      <c r="D20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2" s="22"/>
      <c r="F202" s="36"/>
    </row>
    <row r="203" spans="1:6" x14ac:dyDescent="0.35">
      <c r="A203" s="35"/>
      <c r="B203" s="23"/>
      <c r="C203" s="23"/>
      <c r="D20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3" s="22"/>
      <c r="F203" s="36"/>
    </row>
    <row r="204" spans="1:6" x14ac:dyDescent="0.35">
      <c r="A204" s="35"/>
      <c r="B204" s="23"/>
      <c r="C204" s="23"/>
      <c r="D20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4" s="22"/>
      <c r="F204" s="36"/>
    </row>
    <row r="205" spans="1:6" x14ac:dyDescent="0.35">
      <c r="A205" s="35"/>
      <c r="B205" s="23"/>
      <c r="C205" s="23"/>
      <c r="D20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5" s="22"/>
      <c r="F205" s="36"/>
    </row>
    <row r="206" spans="1:6" x14ac:dyDescent="0.35">
      <c r="A206" s="35"/>
      <c r="B206" s="23"/>
      <c r="C206" s="23"/>
      <c r="D20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6" s="22"/>
      <c r="F206" s="36"/>
    </row>
    <row r="207" spans="1:6" x14ac:dyDescent="0.35">
      <c r="A207" s="35"/>
      <c r="B207" s="23"/>
      <c r="C207" s="23"/>
      <c r="D20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7" s="22"/>
      <c r="F207" s="36"/>
    </row>
    <row r="208" spans="1:6" x14ac:dyDescent="0.35">
      <c r="A208" s="35"/>
      <c r="B208" s="23"/>
      <c r="C208" s="23"/>
      <c r="D20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8" s="22"/>
      <c r="F208" s="36"/>
    </row>
    <row r="209" spans="1:6" x14ac:dyDescent="0.35">
      <c r="A209" s="35"/>
      <c r="B209" s="23"/>
      <c r="C209" s="23"/>
      <c r="D20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09" s="22"/>
      <c r="F209" s="36"/>
    </row>
    <row r="210" spans="1:6" x14ac:dyDescent="0.35">
      <c r="A210" s="35"/>
      <c r="B210" s="23"/>
      <c r="C210" s="23"/>
      <c r="D21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0" s="22"/>
      <c r="F210" s="36"/>
    </row>
    <row r="211" spans="1:6" x14ac:dyDescent="0.35">
      <c r="A211" s="35"/>
      <c r="B211" s="23"/>
      <c r="C211" s="23"/>
      <c r="D21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1" s="22"/>
      <c r="F211" s="36"/>
    </row>
    <row r="212" spans="1:6" x14ac:dyDescent="0.35">
      <c r="A212" s="35"/>
      <c r="B212" s="23"/>
      <c r="C212" s="23"/>
      <c r="D21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2" s="22"/>
      <c r="F212" s="36"/>
    </row>
    <row r="213" spans="1:6" x14ac:dyDescent="0.35">
      <c r="A213" s="35"/>
      <c r="B213" s="23"/>
      <c r="C213" s="23"/>
      <c r="D21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3" s="22"/>
      <c r="F213" s="36"/>
    </row>
    <row r="214" spans="1:6" x14ac:dyDescent="0.35">
      <c r="A214" s="35"/>
      <c r="B214" s="23"/>
      <c r="C214" s="23"/>
      <c r="D21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4" s="22"/>
      <c r="F214" s="36"/>
    </row>
    <row r="215" spans="1:6" x14ac:dyDescent="0.35">
      <c r="A215" s="35"/>
      <c r="B215" s="23"/>
      <c r="C215" s="23"/>
      <c r="D21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5" s="22"/>
      <c r="F215" s="36"/>
    </row>
    <row r="216" spans="1:6" x14ac:dyDescent="0.35">
      <c r="A216" s="35"/>
      <c r="B216" s="23"/>
      <c r="C216" s="23"/>
      <c r="D21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6" s="22"/>
      <c r="F216" s="36"/>
    </row>
    <row r="217" spans="1:6" x14ac:dyDescent="0.35">
      <c r="A217" s="35"/>
      <c r="B217" s="23"/>
      <c r="C217" s="23"/>
      <c r="D21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7" s="22"/>
      <c r="F217" s="36"/>
    </row>
    <row r="218" spans="1:6" x14ac:dyDescent="0.35">
      <c r="A218" s="35"/>
      <c r="B218" s="23"/>
      <c r="C218" s="23"/>
      <c r="D21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8" s="22"/>
      <c r="F218" s="36"/>
    </row>
    <row r="219" spans="1:6" x14ac:dyDescent="0.35">
      <c r="A219" s="35"/>
      <c r="B219" s="23"/>
      <c r="C219" s="23"/>
      <c r="D219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19" s="22"/>
      <c r="F219" s="36"/>
    </row>
    <row r="220" spans="1:6" x14ac:dyDescent="0.35">
      <c r="A220" s="35"/>
      <c r="B220" s="23"/>
      <c r="C220" s="23"/>
      <c r="D220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0" s="22"/>
      <c r="F220" s="36"/>
    </row>
    <row r="221" spans="1:6" x14ac:dyDescent="0.35">
      <c r="A221" s="35"/>
      <c r="B221" s="23"/>
      <c r="C221" s="23"/>
      <c r="D221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1" s="22"/>
      <c r="F221" s="36"/>
    </row>
    <row r="222" spans="1:6" x14ac:dyDescent="0.35">
      <c r="A222" s="35"/>
      <c r="B222" s="23"/>
      <c r="C222" s="23"/>
      <c r="D222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2" s="22"/>
      <c r="F222" s="36"/>
    </row>
    <row r="223" spans="1:6" x14ac:dyDescent="0.35">
      <c r="A223" s="35"/>
      <c r="B223" s="23"/>
      <c r="C223" s="23"/>
      <c r="D223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3" s="22"/>
      <c r="F223" s="36"/>
    </row>
    <row r="224" spans="1:6" x14ac:dyDescent="0.35">
      <c r="A224" s="35"/>
      <c r="B224" s="23"/>
      <c r="C224" s="23"/>
      <c r="D224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4" s="22"/>
      <c r="F224" s="36"/>
    </row>
    <row r="225" spans="1:6" x14ac:dyDescent="0.35">
      <c r="A225" s="35"/>
      <c r="B225" s="23"/>
      <c r="C225" s="23"/>
      <c r="D225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5" s="22"/>
      <c r="F225" s="36"/>
    </row>
    <row r="226" spans="1:6" x14ac:dyDescent="0.35">
      <c r="A226" s="35"/>
      <c r="B226" s="23"/>
      <c r="C226" s="23"/>
      <c r="D226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6" s="22"/>
      <c r="F226" s="36"/>
    </row>
    <row r="227" spans="1:6" x14ac:dyDescent="0.35">
      <c r="A227" s="35"/>
      <c r="B227" s="23"/>
      <c r="C227" s="23"/>
      <c r="D227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7" s="22"/>
      <c r="F227" s="36"/>
    </row>
    <row r="228" spans="1:6" x14ac:dyDescent="0.35">
      <c r="A228" s="37"/>
      <c r="B228" s="38"/>
      <c r="C228" s="38"/>
      <c r="D228" s="23">
        <f>Table23453456879111215141617181920212223242526272834567891011345678910111235111314171921[[#This Row],[Cash]]+Table23453456879111215141617181920212223242526272834567891011345678910111235111314171921[[#This Row],[Account Transfer]]</f>
        <v>0</v>
      </c>
      <c r="E228" s="39"/>
      <c r="F228" s="40"/>
    </row>
  </sheetData>
  <conditionalFormatting sqref="A1:F1">
    <cfRule type="dataBar" priority="1">
      <dataBar>
        <cfvo type="min"/>
        <cfvo type="max"/>
        <color rgb="FF638EC6"/>
      </dataBar>
    </cfRule>
  </conditionalFormatting>
  <conditionalFormatting sqref="B1:F1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Forecast</vt:lpstr>
      <vt:lpstr>Diwali 2025</vt:lpstr>
      <vt:lpstr>EMI</vt:lpstr>
      <vt:lpstr>Forecast 2025</vt:lpstr>
      <vt:lpstr>Loan 062025</vt:lpstr>
      <vt:lpstr>November 2024</vt:lpstr>
      <vt:lpstr>December 2024</vt:lpstr>
      <vt:lpstr>January 2025</vt:lpstr>
      <vt:lpstr>Febuary 2025</vt:lpstr>
      <vt:lpstr>March 2025</vt:lpstr>
      <vt:lpstr>March Expense</vt:lpstr>
      <vt:lpstr>April 2025</vt:lpstr>
      <vt:lpstr>April Expense</vt:lpstr>
      <vt:lpstr>May 2025</vt:lpstr>
      <vt:lpstr>May Expense</vt:lpstr>
      <vt:lpstr>June 2025</vt:lpstr>
      <vt:lpstr>June Expense</vt:lpstr>
      <vt:lpstr>July 2025</vt:lpstr>
      <vt:lpstr>July Expense</vt:lpstr>
      <vt:lpstr>Aug 2025</vt:lpstr>
      <vt:lpstr>Aug Expense</vt:lpstr>
      <vt:lpstr>Sept 2025</vt:lpstr>
      <vt:lpstr>Sept Expense</vt:lpstr>
      <vt:lpstr>Oct 2025</vt:lpstr>
      <vt:lpstr>Nov 2025</vt:lpstr>
      <vt:lpstr>Oct Expense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cp:lastPrinted>2025-06-11T14:41:29Z</cp:lastPrinted>
  <dcterms:created xsi:type="dcterms:W3CDTF">2025-03-11T05:42:32Z</dcterms:created>
  <dcterms:modified xsi:type="dcterms:W3CDTF">2025-11-22T05:17:06Z</dcterms:modified>
</cp:coreProperties>
</file>