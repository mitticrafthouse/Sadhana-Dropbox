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https://capgemini-my.sharepoint.com/personal/dharmesh_maru_capgemini_com/Documents/Desktop/Dharmesh Personal Doc/Sadhana Dropbox/"/>
    </mc:Choice>
  </mc:AlternateContent>
  <xr:revisionPtr revIDLastSave="234" documentId="13_ncr:1_{BDB3B60C-9FF8-40A6-9990-E5F5EFF8E080}" xr6:coauthVersionLast="47" xr6:coauthVersionMax="47" xr10:uidLastSave="{12C80C34-19A7-4AC6-BE0A-64FE8C4A2DB7}"/>
  <bookViews>
    <workbookView xWindow="-110" yWindow="-110" windowWidth="19420" windowHeight="11500" firstSheet="1" activeTab="1" xr2:uid="{00000000-000D-0000-FFFF-FFFF00000000}"/>
  </bookViews>
  <sheets>
    <sheet name="EMI" sheetId="1" state="hidden" r:id="rId1"/>
    <sheet name="Vendor Payment" sheetId="2" r:id="rId2"/>
    <sheet name="Invoic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6" i="3" l="1"/>
  <c r="O13" i="3"/>
  <c r="O14" i="3"/>
  <c r="O17" i="3"/>
  <c r="R14" i="3"/>
  <c r="R15" i="3"/>
  <c r="O15" i="3" s="1"/>
  <c r="R16" i="3"/>
  <c r="R17" i="3"/>
  <c r="R13" i="3"/>
  <c r="O9" i="3"/>
  <c r="K19" i="3"/>
  <c r="G19" i="3"/>
  <c r="K9" i="3"/>
  <c r="E23" i="2"/>
  <c r="H4" i="2"/>
  <c r="K21" i="2"/>
  <c r="H21" i="2"/>
  <c r="H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" i="2"/>
  <c r="G9" i="3"/>
  <c r="B21" i="2"/>
  <c r="C9" i="3"/>
  <c r="K14" i="1"/>
  <c r="F7" i="2"/>
  <c r="O19" i="3" l="1"/>
  <c r="E21" i="2"/>
  <c r="F6" i="1"/>
  <c r="G15" i="1"/>
  <c r="F5" i="1"/>
  <c r="F7" i="1"/>
  <c r="F8" i="1"/>
  <c r="F9" i="1"/>
  <c r="F10" i="1"/>
  <c r="F12" i="1"/>
  <c r="F11" i="1"/>
  <c r="F13" i="1"/>
  <c r="F14" i="1"/>
  <c r="F3" i="1"/>
  <c r="F4" i="1"/>
  <c r="C15" i="1"/>
  <c r="F15" i="1" l="1"/>
  <c r="F18" i="1" s="1"/>
</calcChain>
</file>

<file path=xl/sharedStrings.xml><?xml version="1.0" encoding="utf-8"?>
<sst xmlns="http://schemas.openxmlformats.org/spreadsheetml/2006/main" count="129" uniqueCount="84">
  <si>
    <t>CREDIT CARD CHART</t>
  </si>
  <si>
    <t>Account</t>
  </si>
  <si>
    <t>Bank</t>
  </si>
  <si>
    <t>Card Limit</t>
  </si>
  <si>
    <t>Yagneshbhai</t>
  </si>
  <si>
    <t>HDFC</t>
  </si>
  <si>
    <t>Citi</t>
  </si>
  <si>
    <t>HSBC</t>
  </si>
  <si>
    <t>RBL</t>
  </si>
  <si>
    <t>VINOD</t>
  </si>
  <si>
    <t>SBI</t>
  </si>
  <si>
    <t xml:space="preserve">Dharmesh </t>
  </si>
  <si>
    <t>Axis mm</t>
  </si>
  <si>
    <t>Axis Priviledge</t>
  </si>
  <si>
    <t>CITI</t>
  </si>
  <si>
    <t>TOTAL</t>
  </si>
  <si>
    <t>Payment</t>
  </si>
  <si>
    <t>Due Date</t>
  </si>
  <si>
    <t>Paid</t>
  </si>
  <si>
    <t>Status</t>
  </si>
  <si>
    <t>Decution</t>
  </si>
  <si>
    <t>MIN Amount</t>
  </si>
  <si>
    <t>Particular</t>
  </si>
  <si>
    <t>Amount</t>
  </si>
  <si>
    <t>Dharmesh EMI</t>
  </si>
  <si>
    <t>Yagnesh bhai</t>
  </si>
  <si>
    <t>Arun Home Loan</t>
  </si>
  <si>
    <t>Rajubhai Loan</t>
  </si>
  <si>
    <t>Naru HL</t>
  </si>
  <si>
    <t>Vinod CC PL</t>
  </si>
  <si>
    <t>CC Interest</t>
  </si>
  <si>
    <t>Paresh Sony</t>
  </si>
  <si>
    <t>Maraj Int</t>
  </si>
  <si>
    <t>Total</t>
  </si>
  <si>
    <t>Jameel bhai Madina Potterie</t>
  </si>
  <si>
    <t>Owais Altaf bhai</t>
  </si>
  <si>
    <t>Rajubhai Maru Matalawada</t>
  </si>
  <si>
    <t>Jayabtibhai Matalwada</t>
  </si>
  <si>
    <t>Ambala Matala than</t>
  </si>
  <si>
    <t>Pradeep Virar</t>
  </si>
  <si>
    <t>Hareshbhai Than</t>
  </si>
  <si>
    <t>Manojbhai Chitroda</t>
  </si>
  <si>
    <t>Harshal Ganji</t>
  </si>
  <si>
    <t>Website</t>
  </si>
  <si>
    <t>Dasrath transport</t>
  </si>
  <si>
    <t>Hukampal Transport</t>
  </si>
  <si>
    <t>Vendor Name</t>
  </si>
  <si>
    <t>Amount Due</t>
  </si>
  <si>
    <t>Amount Paid</t>
  </si>
  <si>
    <t>Amount Balance</t>
  </si>
  <si>
    <t>Payment Date</t>
  </si>
  <si>
    <t>Bjarang Jilla</t>
  </si>
  <si>
    <t>Sajidbhai</t>
  </si>
  <si>
    <t>Salimbhai Khurja</t>
  </si>
  <si>
    <t>Dilip</t>
  </si>
  <si>
    <t>Dnyaneshwar Khadvalli</t>
  </si>
  <si>
    <t>Deepak bhai Dadar</t>
  </si>
  <si>
    <t>Bill No</t>
  </si>
  <si>
    <t>Bill Date</t>
  </si>
  <si>
    <t>Bill Amount</t>
  </si>
  <si>
    <t>Hukampal</t>
  </si>
  <si>
    <t>MittiCool</t>
  </si>
  <si>
    <t>Arun cash</t>
  </si>
  <si>
    <t>HDFC Balance</t>
  </si>
  <si>
    <t>Udhar</t>
  </si>
  <si>
    <t>Jitubhai Bhayander</t>
  </si>
  <si>
    <t>Vaibhav Patil</t>
  </si>
  <si>
    <t>Manshanker</t>
  </si>
  <si>
    <t>MMS Ent</t>
  </si>
  <si>
    <t>Rajwadi Dongri</t>
  </si>
  <si>
    <t>Dhanya Powai</t>
  </si>
  <si>
    <t>Mehboob bhai</t>
  </si>
  <si>
    <t>Razwi Milk</t>
  </si>
  <si>
    <t>Counter Sale</t>
  </si>
  <si>
    <t>As Of 30-12-2023</t>
  </si>
  <si>
    <t>Jameel bhai Madina Potteries</t>
  </si>
  <si>
    <t>Owais</t>
  </si>
  <si>
    <t>Mitticool</t>
  </si>
  <si>
    <t>Prev Bill</t>
  </si>
  <si>
    <t>SO - 00558</t>
  </si>
  <si>
    <t>SHAHBHAI</t>
  </si>
  <si>
    <t>Quanttiy</t>
  </si>
  <si>
    <t>Box</t>
  </si>
  <si>
    <t>Ramiya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</si>
</sst>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 * #,##0_ ;_ * \-#,##0_ ;_ * &quot;-&quot;??_ ;_ @_ "/>
    <numFmt numFmtId="165" formatCode="dd/mmm/yyyy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164" fontId="2" fillId="3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1" applyNumberFormat="1" applyFont="1" applyBorder="1" applyAlignment="1">
      <alignment horizontal="center" vertical="center"/>
    </xf>
    <xf numFmtId="164" fontId="2" fillId="0" borderId="2" xfId="1" applyNumberFormat="1" applyFont="1" applyBorder="1"/>
    <xf numFmtId="165" fontId="0" fillId="0" borderId="1" xfId="0" applyNumberFormat="1" applyBorder="1" applyAlignment="1">
      <alignment horizontal="center" vertical="center"/>
    </xf>
    <xf numFmtId="164" fontId="2" fillId="3" borderId="3" xfId="1" applyNumberFormat="1" applyFont="1" applyFill="1" applyBorder="1" applyAlignment="1">
      <alignment horizontal="center" vertical="center"/>
    </xf>
    <xf numFmtId="43" fontId="0" fillId="0" borderId="0" xfId="0" applyNumberFormat="1"/>
    <xf numFmtId="164" fontId="0" fillId="0" borderId="0" xfId="1" applyNumberFormat="1" applyFont="1"/>
    <xf numFmtId="0" fontId="2" fillId="3" borderId="1" xfId="0" applyFont="1" applyFill="1" applyBorder="1" applyAlignment="1">
      <alignment horizontal="center"/>
    </xf>
    <xf numFmtId="164" fontId="2" fillId="3" borderId="1" xfId="1" applyNumberFormat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1" applyNumberFormat="1" applyFont="1" applyBorder="1" applyAlignment="1">
      <alignment horizontal="center"/>
    </xf>
    <xf numFmtId="164" fontId="0" fillId="0" borderId="1" xfId="1" applyNumberFormat="1" applyFont="1" applyFill="1" applyBorder="1" applyAlignment="1">
      <alignment horizontal="center"/>
    </xf>
    <xf numFmtId="164" fontId="0" fillId="0" borderId="1" xfId="1" applyNumberFormat="1" applyFont="1" applyBorder="1" applyAlignment="1"/>
    <xf numFmtId="0" fontId="2" fillId="0" borderId="1" xfId="0" applyFont="1" applyBorder="1" applyAlignment="1">
      <alignment horizontal="center"/>
    </xf>
    <xf numFmtId="164" fontId="2" fillId="0" borderId="1" xfId="0" applyNumberFormat="1" applyFont="1" applyBorder="1"/>
    <xf numFmtId="14" fontId="0" fillId="0" borderId="0" xfId="1" applyNumberFormat="1" applyFont="1"/>
    <xf numFmtId="164" fontId="0" fillId="0" borderId="0" xfId="0" applyNumberFormat="1"/>
    <xf numFmtId="0" fontId="2" fillId="0" borderId="2" xfId="0" applyFont="1" applyBorder="1" applyAlignment="1">
      <alignment horizontal="center"/>
    </xf>
    <xf numFmtId="0" fontId="2" fillId="2" borderId="0" xfId="0" applyFont="1" applyFill="1" applyAlignment="1">
      <alignment horizontal="center"/>
    </xf>
    <xf numFmtId="15" fontId="0" fillId="0" borderId="0" xfId="0" applyNumberFormat="1"/>
    <xf numFmtId="0" fontId="2" fillId="4" borderId="0" xfId="0" applyFont="1" applyFill="1" applyAlignment="1">
      <alignment horizontal="center"/>
    </xf>
    <xf numFmtId="15" fontId="0" fillId="0" borderId="1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3" fontId="0" fillId="0" borderId="1" xfId="0" applyNumberFormat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workbookViewId="0">
      <selection activeCell="I21" sqref="I21"/>
    </sheetView>
  </sheetViews>
  <sheetFormatPr defaultRowHeight="14.5" x14ac:dyDescent="0.35"/>
  <cols>
    <col min="1" max="1" width="11.36328125" bestFit="1" customWidth="1"/>
    <col min="2" max="2" width="12.6328125" bestFit="1" customWidth="1"/>
    <col min="3" max="3" width="10.1796875" bestFit="1" customWidth="1"/>
    <col min="4" max="4" width="9.1796875" bestFit="1" customWidth="1"/>
    <col min="5" max="5" width="11.54296875" bestFit="1" customWidth="1"/>
    <col min="6" max="6" width="9.7265625" bestFit="1" customWidth="1"/>
    <col min="7" max="7" width="12.54296875" bestFit="1" customWidth="1"/>
    <col min="8" max="8" width="7" bestFit="1" customWidth="1"/>
    <col min="10" max="10" width="14.90625" bestFit="1" customWidth="1"/>
    <col min="11" max="11" width="9.7265625" bestFit="1" customWidth="1"/>
  </cols>
  <sheetData>
    <row r="1" spans="1:11" x14ac:dyDescent="0.35">
      <c r="A1" s="21" t="s">
        <v>0</v>
      </c>
      <c r="B1" s="21"/>
      <c r="C1" s="21"/>
      <c r="D1" s="21"/>
      <c r="E1" s="21"/>
      <c r="F1" s="21"/>
      <c r="G1" s="21"/>
      <c r="H1" s="21"/>
    </row>
    <row r="2" spans="1:11" x14ac:dyDescent="0.35">
      <c r="A2" s="1" t="s">
        <v>1</v>
      </c>
      <c r="B2" s="1" t="s">
        <v>2</v>
      </c>
      <c r="C2" s="2" t="s">
        <v>3</v>
      </c>
      <c r="D2" s="2" t="s">
        <v>16</v>
      </c>
      <c r="E2" s="2" t="s">
        <v>17</v>
      </c>
      <c r="F2" s="7" t="s">
        <v>20</v>
      </c>
      <c r="G2" s="7" t="s">
        <v>21</v>
      </c>
      <c r="H2" s="2" t="s">
        <v>19</v>
      </c>
    </row>
    <row r="3" spans="1:11" x14ac:dyDescent="0.35">
      <c r="A3" s="3" t="s">
        <v>11</v>
      </c>
      <c r="B3" s="3" t="s">
        <v>5</v>
      </c>
      <c r="C3" s="4">
        <v>273000</v>
      </c>
      <c r="D3" s="4">
        <v>60000</v>
      </c>
      <c r="E3" s="6">
        <v>45011</v>
      </c>
      <c r="F3" s="4">
        <f t="shared" ref="F3:F14" si="0">D3*2.17%</f>
        <v>1302</v>
      </c>
      <c r="G3" s="4">
        <v>5000</v>
      </c>
      <c r="H3" s="3" t="s">
        <v>18</v>
      </c>
      <c r="J3" s="10" t="s">
        <v>22</v>
      </c>
      <c r="K3" s="11" t="s">
        <v>23</v>
      </c>
    </row>
    <row r="4" spans="1:11" x14ac:dyDescent="0.35">
      <c r="A4" s="3" t="s">
        <v>9</v>
      </c>
      <c r="B4" s="3" t="s">
        <v>10</v>
      </c>
      <c r="C4" s="4">
        <v>375000</v>
      </c>
      <c r="D4" s="4">
        <v>364528</v>
      </c>
      <c r="E4" s="6">
        <v>45016</v>
      </c>
      <c r="F4" s="4">
        <f t="shared" si="0"/>
        <v>7910.2575999999999</v>
      </c>
      <c r="G4" s="4">
        <v>0</v>
      </c>
      <c r="H4" s="3" t="s">
        <v>18</v>
      </c>
      <c r="J4" s="12" t="s">
        <v>24</v>
      </c>
      <c r="K4" s="13">
        <v>293000</v>
      </c>
    </row>
    <row r="5" spans="1:11" x14ac:dyDescent="0.35">
      <c r="A5" s="3" t="s">
        <v>4</v>
      </c>
      <c r="B5" s="3" t="s">
        <v>8</v>
      </c>
      <c r="C5" s="4">
        <v>200000</v>
      </c>
      <c r="D5" s="4">
        <v>46000</v>
      </c>
      <c r="E5" s="6">
        <v>45017</v>
      </c>
      <c r="F5" s="4">
        <f t="shared" si="0"/>
        <v>998.2</v>
      </c>
      <c r="G5" s="4">
        <v>2300</v>
      </c>
      <c r="H5" s="3" t="s">
        <v>18</v>
      </c>
      <c r="J5" s="12" t="s">
        <v>25</v>
      </c>
      <c r="K5" s="13">
        <v>140000</v>
      </c>
    </row>
    <row r="6" spans="1:11" x14ac:dyDescent="0.35">
      <c r="A6" s="3" t="s">
        <v>11</v>
      </c>
      <c r="B6" s="3" t="s">
        <v>10</v>
      </c>
      <c r="C6" s="4">
        <v>69000</v>
      </c>
      <c r="D6" s="4">
        <v>69000</v>
      </c>
      <c r="E6" s="6">
        <v>45020</v>
      </c>
      <c r="F6" s="4">
        <f t="shared" si="0"/>
        <v>1497.3</v>
      </c>
      <c r="G6" s="4"/>
      <c r="H6" s="3"/>
      <c r="J6" s="12" t="s">
        <v>26</v>
      </c>
      <c r="K6" s="13">
        <v>75000</v>
      </c>
    </row>
    <row r="7" spans="1:11" x14ac:dyDescent="0.35">
      <c r="A7" s="3" t="s">
        <v>9</v>
      </c>
      <c r="B7" s="3" t="s">
        <v>5</v>
      </c>
      <c r="C7" s="4">
        <v>682000</v>
      </c>
      <c r="D7" s="4">
        <v>197449</v>
      </c>
      <c r="E7" s="6">
        <v>45021</v>
      </c>
      <c r="F7" s="4">
        <f t="shared" si="0"/>
        <v>4284.6432999999997</v>
      </c>
      <c r="G7" s="4"/>
      <c r="H7" s="3"/>
      <c r="J7" s="12" t="s">
        <v>27</v>
      </c>
      <c r="K7" s="13">
        <v>35000</v>
      </c>
    </row>
    <row r="8" spans="1:11" x14ac:dyDescent="0.35">
      <c r="A8" s="3" t="s">
        <v>4</v>
      </c>
      <c r="B8" s="3" t="s">
        <v>6</v>
      </c>
      <c r="C8" s="4">
        <v>128000</v>
      </c>
      <c r="D8" s="4">
        <v>36704</v>
      </c>
      <c r="E8" s="6">
        <v>45022</v>
      </c>
      <c r="F8" s="4">
        <f t="shared" si="0"/>
        <v>796.47680000000003</v>
      </c>
      <c r="G8" s="4">
        <v>1020</v>
      </c>
      <c r="H8" s="3"/>
      <c r="J8" s="12" t="s">
        <v>28</v>
      </c>
      <c r="K8" s="13">
        <v>37000</v>
      </c>
    </row>
    <row r="9" spans="1:11" x14ac:dyDescent="0.35">
      <c r="A9" s="3" t="s">
        <v>4</v>
      </c>
      <c r="B9" s="3" t="s">
        <v>7</v>
      </c>
      <c r="C9" s="4">
        <v>278000</v>
      </c>
      <c r="D9" s="4">
        <v>142155</v>
      </c>
      <c r="E9" s="6">
        <v>45022</v>
      </c>
      <c r="F9" s="4">
        <f t="shared" si="0"/>
        <v>3084.7635</v>
      </c>
      <c r="G9" s="4"/>
      <c r="H9" s="3"/>
      <c r="J9" s="12" t="s">
        <v>29</v>
      </c>
      <c r="K9" s="13">
        <v>24000</v>
      </c>
    </row>
    <row r="10" spans="1:11" x14ac:dyDescent="0.35">
      <c r="A10" s="3" t="s">
        <v>11</v>
      </c>
      <c r="B10" s="3" t="s">
        <v>13</v>
      </c>
      <c r="C10" s="4">
        <v>121000</v>
      </c>
      <c r="D10" s="4">
        <v>42655</v>
      </c>
      <c r="E10" s="6">
        <v>45023</v>
      </c>
      <c r="F10" s="4">
        <f t="shared" si="0"/>
        <v>925.61350000000004</v>
      </c>
      <c r="G10" s="4"/>
      <c r="H10" s="3"/>
      <c r="J10" s="12" t="s">
        <v>30</v>
      </c>
      <c r="K10" s="14">
        <v>45406</v>
      </c>
    </row>
    <row r="11" spans="1:11" x14ac:dyDescent="0.35">
      <c r="A11" s="3" t="s">
        <v>4</v>
      </c>
      <c r="B11" s="3" t="s">
        <v>5</v>
      </c>
      <c r="C11" s="4">
        <v>389000</v>
      </c>
      <c r="D11" s="4">
        <v>119858</v>
      </c>
      <c r="E11" s="6">
        <v>45024</v>
      </c>
      <c r="F11" s="4">
        <f t="shared" si="0"/>
        <v>2600.9186</v>
      </c>
      <c r="G11" s="4">
        <v>8000</v>
      </c>
      <c r="H11" s="3"/>
      <c r="J11" s="12" t="s">
        <v>31</v>
      </c>
      <c r="K11" s="15">
        <v>12500</v>
      </c>
    </row>
    <row r="12" spans="1:11" x14ac:dyDescent="0.35">
      <c r="A12" s="3" t="s">
        <v>11</v>
      </c>
      <c r="B12" s="3" t="s">
        <v>10</v>
      </c>
      <c r="C12" s="4">
        <v>200000</v>
      </c>
      <c r="D12" s="4">
        <v>54442</v>
      </c>
      <c r="E12" s="6">
        <v>45026</v>
      </c>
      <c r="F12" s="4">
        <f t="shared" si="0"/>
        <v>1181.3914</v>
      </c>
      <c r="G12" s="4"/>
      <c r="H12" s="3"/>
      <c r="J12" s="12" t="s">
        <v>32</v>
      </c>
      <c r="K12" s="14">
        <v>25000</v>
      </c>
    </row>
    <row r="13" spans="1:11" x14ac:dyDescent="0.35">
      <c r="A13" s="3" t="s">
        <v>11</v>
      </c>
      <c r="B13" s="3" t="s">
        <v>14</v>
      </c>
      <c r="C13" s="4">
        <v>78000</v>
      </c>
      <c r="D13" s="4">
        <v>27305</v>
      </c>
      <c r="E13" s="6">
        <v>45026</v>
      </c>
      <c r="F13" s="4">
        <f t="shared" si="0"/>
        <v>592.51850000000002</v>
      </c>
      <c r="G13" s="4">
        <v>2000</v>
      </c>
      <c r="H13" s="3"/>
      <c r="J13" s="12" t="s">
        <v>54</v>
      </c>
      <c r="K13" s="14">
        <v>20000</v>
      </c>
    </row>
    <row r="14" spans="1:11" x14ac:dyDescent="0.35">
      <c r="A14" s="3" t="s">
        <v>11</v>
      </c>
      <c r="B14" s="3" t="s">
        <v>12</v>
      </c>
      <c r="C14" s="4">
        <v>154000</v>
      </c>
      <c r="D14" s="4">
        <v>88137</v>
      </c>
      <c r="E14" s="6">
        <v>45030</v>
      </c>
      <c r="F14" s="4">
        <f t="shared" si="0"/>
        <v>1912.5729000000001</v>
      </c>
      <c r="G14" s="4"/>
      <c r="H14" s="3"/>
      <c r="J14" s="16" t="s">
        <v>33</v>
      </c>
      <c r="K14" s="17">
        <f>SUM(K4:K13)</f>
        <v>706906</v>
      </c>
    </row>
    <row r="15" spans="1:11" x14ac:dyDescent="0.35">
      <c r="A15" s="20" t="s">
        <v>15</v>
      </c>
      <c r="B15" s="20"/>
      <c r="C15" s="5">
        <f>SUM(C3:C14)</f>
        <v>2947000</v>
      </c>
      <c r="F15" s="4">
        <f>SUM(F3:F14)</f>
        <v>27086.6561</v>
      </c>
      <c r="G15" s="4">
        <f>SUM(G3:G14)</f>
        <v>18320</v>
      </c>
    </row>
    <row r="18" spans="2:6" x14ac:dyDescent="0.35">
      <c r="F18" s="8">
        <f>F15+G15</f>
        <v>45406.6561</v>
      </c>
    </row>
    <row r="20" spans="2:6" x14ac:dyDescent="0.35">
      <c r="B20" s="6"/>
    </row>
  </sheetData>
  <sortState xmlns:xlrd2="http://schemas.microsoft.com/office/spreadsheetml/2017/richdata2" ref="A3:H14">
    <sortCondition ref="E3:E14"/>
  </sortState>
  <mergeCells count="2">
    <mergeCell ref="A15:B15"/>
    <mergeCell ref="A1:H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93216-00F2-4B61-BD70-875BCB9ADE0F}">
  <dimension ref="A1:K23"/>
  <sheetViews>
    <sheetView tabSelected="1" workbookViewId="0"/>
  </sheetViews>
  <sheetFormatPr defaultRowHeight="14.5" x14ac:dyDescent="0.35"/>
  <cols>
    <col min="1" max="1" width="24.7265625" bestFit="1" customWidth="1"/>
    <col min="2" max="2" width="12.26953125" style="9" bestFit="1" customWidth="1"/>
    <col min="3" max="3" width="12.453125" style="18" bestFit="1" customWidth="1"/>
    <col min="4" max="4" width="11.54296875" style="9" bestFit="1" customWidth="1"/>
    <col min="5" max="5" width="15.453125" style="9" bestFit="1" customWidth="1"/>
    <col min="7" max="7" width="12.1796875" bestFit="1" customWidth="1"/>
    <col min="8" max="8" width="8.6328125" style="9" bestFit="1" customWidth="1"/>
    <col min="10" max="10" width="16.81640625" bestFit="1" customWidth="1"/>
  </cols>
  <sheetData>
    <row r="1" spans="1:11" x14ac:dyDescent="0.35">
      <c r="A1" t="s">
        <v>46</v>
      </c>
      <c r="B1" s="9" t="s">
        <v>47</v>
      </c>
      <c r="C1" s="18" t="s">
        <v>50</v>
      </c>
      <c r="D1" s="9" t="s">
        <v>48</v>
      </c>
      <c r="E1" s="9" t="s">
        <v>49</v>
      </c>
      <c r="G1" s="23" t="s">
        <v>74</v>
      </c>
      <c r="H1" s="23"/>
    </row>
    <row r="2" spans="1:11" x14ac:dyDescent="0.35">
      <c r="A2" t="s">
        <v>34</v>
      </c>
      <c r="B2" s="9">
        <v>425811</v>
      </c>
      <c r="C2" s="6"/>
      <c r="D2" s="9">
        <v>50000</v>
      </c>
      <c r="E2" s="9">
        <f>B2-D2</f>
        <v>375811</v>
      </c>
      <c r="F2" s="9"/>
      <c r="G2" t="s">
        <v>62</v>
      </c>
      <c r="H2" s="9">
        <f>50000-30275</f>
        <v>19725</v>
      </c>
      <c r="J2" t="s">
        <v>65</v>
      </c>
      <c r="K2">
        <v>44000</v>
      </c>
    </row>
    <row r="3" spans="1:11" x14ac:dyDescent="0.35">
      <c r="A3" t="s">
        <v>39</v>
      </c>
      <c r="B3" s="9">
        <v>47968</v>
      </c>
      <c r="C3" s="6"/>
      <c r="E3" s="9">
        <f t="shared" ref="E3:E19" si="0">B3-D3</f>
        <v>47968</v>
      </c>
      <c r="F3" s="9"/>
      <c r="G3" t="s">
        <v>63</v>
      </c>
      <c r="H3" s="9">
        <v>17000</v>
      </c>
      <c r="J3" t="s">
        <v>66</v>
      </c>
      <c r="K3">
        <v>35000</v>
      </c>
    </row>
    <row r="4" spans="1:11" x14ac:dyDescent="0.35">
      <c r="A4" t="s">
        <v>35</v>
      </c>
      <c r="B4" s="9">
        <v>0</v>
      </c>
      <c r="C4" s="6"/>
      <c r="E4" s="9">
        <f t="shared" si="0"/>
        <v>0</v>
      </c>
      <c r="F4" s="9"/>
      <c r="G4" t="s">
        <v>64</v>
      </c>
      <c r="H4" s="9">
        <f>K21</f>
        <v>119236</v>
      </c>
      <c r="J4" t="s">
        <v>67</v>
      </c>
      <c r="K4">
        <v>6000</v>
      </c>
    </row>
    <row r="5" spans="1:11" x14ac:dyDescent="0.35">
      <c r="A5" t="s">
        <v>36</v>
      </c>
      <c r="B5" s="9">
        <v>5100</v>
      </c>
      <c r="C5" s="6"/>
      <c r="D5" s="9">
        <v>5500</v>
      </c>
      <c r="E5" s="9">
        <f t="shared" si="0"/>
        <v>-400</v>
      </c>
      <c r="F5" s="9"/>
      <c r="G5" t="s">
        <v>73</v>
      </c>
      <c r="J5" t="s">
        <v>68</v>
      </c>
      <c r="K5">
        <v>4800</v>
      </c>
    </row>
    <row r="6" spans="1:11" x14ac:dyDescent="0.35">
      <c r="A6" t="s">
        <v>37</v>
      </c>
      <c r="B6" s="9">
        <v>6800</v>
      </c>
      <c r="C6" s="6"/>
      <c r="E6" s="9">
        <f t="shared" si="0"/>
        <v>6800</v>
      </c>
      <c r="J6" t="s">
        <v>69</v>
      </c>
      <c r="K6">
        <v>10000</v>
      </c>
    </row>
    <row r="7" spans="1:11" x14ac:dyDescent="0.35">
      <c r="A7" t="s">
        <v>38</v>
      </c>
      <c r="B7" s="9">
        <v>50000</v>
      </c>
      <c r="C7" s="6"/>
      <c r="E7" s="9">
        <f t="shared" si="0"/>
        <v>50000</v>
      </c>
      <c r="F7" s="19">
        <f>SUM(F2:F6)</f>
        <v>0</v>
      </c>
      <c r="J7" t="s">
        <v>70</v>
      </c>
      <c r="K7">
        <v>4382</v>
      </c>
    </row>
    <row r="8" spans="1:11" x14ac:dyDescent="0.35">
      <c r="A8" t="s">
        <v>56</v>
      </c>
      <c r="B8" s="9">
        <v>25920</v>
      </c>
      <c r="C8" s="6"/>
      <c r="E8" s="9">
        <f t="shared" si="0"/>
        <v>25920</v>
      </c>
      <c r="J8" t="s">
        <v>71</v>
      </c>
      <c r="K8">
        <v>8000</v>
      </c>
    </row>
    <row r="9" spans="1:11" x14ac:dyDescent="0.35">
      <c r="A9" t="s">
        <v>40</v>
      </c>
      <c r="C9" s="6"/>
      <c r="E9" s="9">
        <f t="shared" si="0"/>
        <v>0</v>
      </c>
      <c r="J9" t="s">
        <v>72</v>
      </c>
      <c r="K9">
        <v>7054</v>
      </c>
    </row>
    <row r="10" spans="1:11" x14ac:dyDescent="0.35">
      <c r="A10" t="s">
        <v>41</v>
      </c>
      <c r="B10" s="9">
        <v>0</v>
      </c>
      <c r="C10" s="6"/>
      <c r="E10" s="9">
        <f t="shared" si="0"/>
        <v>0</v>
      </c>
    </row>
    <row r="11" spans="1:11" x14ac:dyDescent="0.35">
      <c r="A11" t="s">
        <v>53</v>
      </c>
      <c r="B11" s="9">
        <v>0</v>
      </c>
      <c r="C11" s="6"/>
      <c r="E11" s="9">
        <f t="shared" si="0"/>
        <v>0</v>
      </c>
    </row>
    <row r="12" spans="1:11" x14ac:dyDescent="0.35">
      <c r="A12" t="s">
        <v>52</v>
      </c>
      <c r="B12" s="9">
        <v>3120</v>
      </c>
      <c r="C12" s="6"/>
      <c r="E12" s="9">
        <f t="shared" si="0"/>
        <v>3120</v>
      </c>
    </row>
    <row r="13" spans="1:11" x14ac:dyDescent="0.35">
      <c r="A13" t="s">
        <v>55</v>
      </c>
      <c r="B13" s="9">
        <v>125000</v>
      </c>
      <c r="C13" s="6"/>
      <c r="E13" s="9">
        <f t="shared" si="0"/>
        <v>125000</v>
      </c>
    </row>
    <row r="14" spans="1:11" x14ac:dyDescent="0.35">
      <c r="A14" t="s">
        <v>51</v>
      </c>
      <c r="B14" s="9">
        <v>0</v>
      </c>
      <c r="C14" s="6"/>
      <c r="E14" s="9">
        <f t="shared" si="0"/>
        <v>0</v>
      </c>
    </row>
    <row r="15" spans="1:11" x14ac:dyDescent="0.35">
      <c r="A15" t="s">
        <v>42</v>
      </c>
      <c r="B15" s="9">
        <v>0</v>
      </c>
      <c r="C15" s="6"/>
      <c r="E15" s="9">
        <f t="shared" si="0"/>
        <v>0</v>
      </c>
    </row>
    <row r="16" spans="1:11" x14ac:dyDescent="0.35">
      <c r="A16" t="s">
        <v>61</v>
      </c>
      <c r="B16" s="9">
        <v>130000</v>
      </c>
      <c r="C16" s="6"/>
      <c r="E16" s="9">
        <f t="shared" si="0"/>
        <v>130000</v>
      </c>
    </row>
    <row r="17" spans="1:11" x14ac:dyDescent="0.35">
      <c r="A17" t="s">
        <v>43</v>
      </c>
      <c r="B17" s="9">
        <v>15000</v>
      </c>
      <c r="C17" s="6"/>
      <c r="E17" s="9">
        <f t="shared" si="0"/>
        <v>15000</v>
      </c>
    </row>
    <row r="18" spans="1:11" x14ac:dyDescent="0.35">
      <c r="A18" t="s">
        <v>44</v>
      </c>
      <c r="B18" s="9">
        <v>10725</v>
      </c>
      <c r="C18" s="6"/>
      <c r="E18" s="9">
        <f t="shared" si="0"/>
        <v>10725</v>
      </c>
    </row>
    <row r="19" spans="1:11" x14ac:dyDescent="0.35">
      <c r="A19" t="s">
        <v>45</v>
      </c>
      <c r="B19" s="9">
        <v>64955</v>
      </c>
      <c r="E19" s="9">
        <f t="shared" si="0"/>
        <v>64955</v>
      </c>
    </row>
    <row r="21" spans="1:11" x14ac:dyDescent="0.35">
      <c r="B21" s="9">
        <f>SUM(B1:B20)</f>
        <v>910399</v>
      </c>
      <c r="E21" s="9">
        <f>SUM(E2:E20)</f>
        <v>854899</v>
      </c>
      <c r="H21" s="9">
        <f>SUM(H2:H20)</f>
        <v>155961</v>
      </c>
      <c r="K21">
        <f>SUM(K2:K20)</f>
        <v>119236</v>
      </c>
    </row>
    <row r="23" spans="1:11" x14ac:dyDescent="0.35">
      <c r="E23" s="9">
        <f>E21-H21</f>
        <v>698938</v>
      </c>
    </row>
  </sheetData>
  <mergeCells count="1">
    <mergeCell ref="G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9D673-C189-478A-847A-3BA57FD8DC70}">
  <dimension ref="A1:R19"/>
  <sheetViews>
    <sheetView workbookViewId="0">
      <selection activeCell="M11" sqref="M11:R19"/>
    </sheetView>
  </sheetViews>
  <sheetFormatPr defaultRowHeight="14.5" x14ac:dyDescent="0.35"/>
  <cols>
    <col min="1" max="1" width="6.08984375" bestFit="1" customWidth="1"/>
    <col min="2" max="2" width="9.36328125" style="22" bestFit="1" customWidth="1"/>
    <col min="3" max="3" width="11.36328125" style="9" bestFit="1" customWidth="1"/>
    <col min="5" max="5" width="6.08984375" bestFit="1" customWidth="1"/>
    <col min="6" max="6" width="9.1796875" style="22" bestFit="1" customWidth="1"/>
    <col min="7" max="7" width="11.36328125" style="9" bestFit="1" customWidth="1"/>
    <col min="9" max="9" width="10.6328125" bestFit="1" customWidth="1"/>
    <col min="10" max="10" width="9.36328125" bestFit="1" customWidth="1"/>
    <col min="11" max="11" width="11.36328125" bestFit="1" customWidth="1"/>
    <col min="14" max="14" width="9.36328125" bestFit="1" customWidth="1"/>
    <col min="15" max="15" width="11.36328125" bestFit="1" customWidth="1"/>
  </cols>
  <sheetData>
    <row r="1" spans="1:18" x14ac:dyDescent="0.35">
      <c r="A1" s="27" t="s">
        <v>39</v>
      </c>
      <c r="B1" s="27"/>
      <c r="C1" s="27"/>
      <c r="E1" s="27" t="s">
        <v>60</v>
      </c>
      <c r="F1" s="27"/>
      <c r="G1" s="27"/>
      <c r="I1" s="27" t="s">
        <v>77</v>
      </c>
      <c r="J1" s="27"/>
      <c r="K1" s="27"/>
      <c r="M1" s="27" t="s">
        <v>80</v>
      </c>
      <c r="N1" s="27"/>
      <c r="O1" s="27"/>
    </row>
    <row r="2" spans="1:18" x14ac:dyDescent="0.35">
      <c r="A2" s="3" t="s">
        <v>57</v>
      </c>
      <c r="B2" s="24" t="s">
        <v>58</v>
      </c>
      <c r="C2" s="4" t="s">
        <v>59</v>
      </c>
      <c r="E2" s="3" t="s">
        <v>57</v>
      </c>
      <c r="F2" s="24" t="s">
        <v>58</v>
      </c>
      <c r="G2" s="4" t="s">
        <v>59</v>
      </c>
      <c r="I2" s="3" t="s">
        <v>57</v>
      </c>
      <c r="J2" s="24" t="s">
        <v>58</v>
      </c>
      <c r="K2" s="4" t="s">
        <v>59</v>
      </c>
      <c r="M2" s="3" t="s">
        <v>57</v>
      </c>
      <c r="N2" s="24" t="s">
        <v>58</v>
      </c>
      <c r="O2" s="4" t="s">
        <v>59</v>
      </c>
    </row>
    <row r="3" spans="1:18" x14ac:dyDescent="0.35">
      <c r="A3" s="3">
        <v>1</v>
      </c>
      <c r="B3" s="24">
        <v>45244</v>
      </c>
      <c r="C3" s="4">
        <v>27735</v>
      </c>
      <c r="E3" s="3">
        <v>1</v>
      </c>
      <c r="F3" s="24">
        <v>45211</v>
      </c>
      <c r="G3" s="4">
        <v>26495</v>
      </c>
      <c r="I3" s="3" t="s">
        <v>79</v>
      </c>
      <c r="J3" s="24">
        <v>45260</v>
      </c>
      <c r="K3" s="28">
        <v>130915</v>
      </c>
      <c r="M3" s="3">
        <v>1</v>
      </c>
      <c r="N3" s="24">
        <v>45230</v>
      </c>
      <c r="O3" s="28">
        <v>6130</v>
      </c>
    </row>
    <row r="4" spans="1:18" x14ac:dyDescent="0.35">
      <c r="A4" s="3">
        <v>2</v>
      </c>
      <c r="B4" s="24">
        <v>45272</v>
      </c>
      <c r="C4" s="4">
        <v>20233</v>
      </c>
      <c r="E4" s="3">
        <v>2</v>
      </c>
      <c r="F4" s="24">
        <v>45280</v>
      </c>
      <c r="G4" s="4">
        <v>19500</v>
      </c>
      <c r="I4" s="3">
        <v>2</v>
      </c>
      <c r="J4" s="24"/>
      <c r="K4" s="4"/>
      <c r="M4" s="3">
        <v>2</v>
      </c>
      <c r="N4" s="24">
        <v>45260</v>
      </c>
      <c r="O4" s="28">
        <v>5000</v>
      </c>
    </row>
    <row r="5" spans="1:18" x14ac:dyDescent="0.35">
      <c r="A5" s="3"/>
      <c r="B5" s="24"/>
      <c r="C5" s="4"/>
      <c r="E5" s="3">
        <v>3</v>
      </c>
      <c r="F5" s="24">
        <v>45281</v>
      </c>
      <c r="G5" s="4">
        <v>2960</v>
      </c>
      <c r="I5" s="3"/>
      <c r="J5" s="24"/>
      <c r="K5" s="4"/>
      <c r="M5" s="3"/>
      <c r="N5" s="24"/>
      <c r="O5" s="28"/>
    </row>
    <row r="6" spans="1:18" x14ac:dyDescent="0.35">
      <c r="A6" s="3"/>
      <c r="B6" s="24"/>
      <c r="C6" s="4"/>
      <c r="E6" s="3">
        <v>4</v>
      </c>
      <c r="F6" s="24">
        <v>45292</v>
      </c>
      <c r="G6" s="4">
        <v>16000</v>
      </c>
      <c r="I6" s="3"/>
      <c r="J6" s="24"/>
      <c r="K6" s="4"/>
      <c r="M6" s="3"/>
      <c r="N6" s="24"/>
      <c r="O6" s="28"/>
    </row>
    <row r="7" spans="1:18" x14ac:dyDescent="0.35">
      <c r="A7" s="3"/>
      <c r="B7" s="24"/>
      <c r="C7" s="4"/>
      <c r="E7" s="3"/>
      <c r="F7" s="24"/>
      <c r="G7" s="4"/>
      <c r="I7" s="3"/>
      <c r="J7" s="24"/>
      <c r="K7" s="4"/>
      <c r="M7" s="3"/>
      <c r="N7" s="24"/>
      <c r="O7" s="28"/>
    </row>
    <row r="8" spans="1:18" x14ac:dyDescent="0.35">
      <c r="A8" s="3"/>
      <c r="B8" s="24"/>
      <c r="C8" s="4"/>
      <c r="E8" s="3"/>
      <c r="F8" s="24"/>
      <c r="G8" s="4"/>
      <c r="I8" s="3"/>
      <c r="J8" s="24"/>
      <c r="K8" s="4"/>
      <c r="M8" s="3"/>
      <c r="N8" s="24"/>
      <c r="O8" s="28"/>
    </row>
    <row r="9" spans="1:18" x14ac:dyDescent="0.35">
      <c r="A9" s="25" t="s">
        <v>33</v>
      </c>
      <c r="B9" s="26"/>
      <c r="C9" s="4">
        <f>SUM(C3:C8)</f>
        <v>47968</v>
      </c>
      <c r="E9" s="25" t="s">
        <v>33</v>
      </c>
      <c r="F9" s="26"/>
      <c r="G9" s="4">
        <f>SUM(G3:G8)</f>
        <v>64955</v>
      </c>
      <c r="I9" s="25" t="s">
        <v>33</v>
      </c>
      <c r="J9" s="26"/>
      <c r="K9" s="4">
        <f>SUM(K3:K8)</f>
        <v>130915</v>
      </c>
      <c r="M9" s="25" t="s">
        <v>33</v>
      </c>
      <c r="N9" s="26"/>
      <c r="O9" s="28">
        <f>SUM(O3:O8)</f>
        <v>11130</v>
      </c>
    </row>
    <row r="11" spans="1:18" x14ac:dyDescent="0.35">
      <c r="E11" s="27" t="s">
        <v>75</v>
      </c>
      <c r="F11" s="27"/>
      <c r="G11" s="27"/>
      <c r="I11" s="27" t="s">
        <v>76</v>
      </c>
      <c r="J11" s="27"/>
      <c r="K11" s="27"/>
      <c r="M11" s="27" t="s">
        <v>40</v>
      </c>
      <c r="N11" s="27"/>
      <c r="O11" s="27"/>
    </row>
    <row r="12" spans="1:18" x14ac:dyDescent="0.35">
      <c r="E12" s="3" t="s">
        <v>57</v>
      </c>
      <c r="F12" s="24" t="s">
        <v>58</v>
      </c>
      <c r="G12" s="4" t="s">
        <v>59</v>
      </c>
      <c r="I12" s="3" t="s">
        <v>57</v>
      </c>
      <c r="J12" s="24" t="s">
        <v>58</v>
      </c>
      <c r="K12" s="4" t="s">
        <v>59</v>
      </c>
      <c r="M12" s="3" t="s">
        <v>57</v>
      </c>
      <c r="N12" s="24" t="s">
        <v>58</v>
      </c>
      <c r="O12" s="4" t="s">
        <v>59</v>
      </c>
      <c r="P12" t="s">
        <v>81</v>
      </c>
      <c r="Q12" t="s">
        <v>82</v>
      </c>
      <c r="R12" t="s">
        <v>33</v>
      </c>
    </row>
    <row r="13" spans="1:18" x14ac:dyDescent="0.35">
      <c r="E13" s="3" t="s">
        <v>78</v>
      </c>
      <c r="F13" s="24">
        <v>45226</v>
      </c>
      <c r="G13" s="4"/>
      <c r="I13" s="3"/>
      <c r="J13" s="24"/>
      <c r="K13" s="4"/>
      <c r="M13" s="3">
        <v>1</v>
      </c>
      <c r="N13" s="24">
        <v>45259</v>
      </c>
      <c r="O13" s="4">
        <f>R13*4</f>
        <v>19200</v>
      </c>
      <c r="P13">
        <v>75</v>
      </c>
      <c r="Q13">
        <v>64</v>
      </c>
      <c r="R13">
        <f>Q13*P13</f>
        <v>4800</v>
      </c>
    </row>
    <row r="14" spans="1:18" x14ac:dyDescent="0.35">
      <c r="E14" s="3"/>
      <c r="F14" s="24"/>
      <c r="G14" s="4"/>
      <c r="I14" s="3"/>
      <c r="J14" s="24"/>
      <c r="K14" s="4"/>
      <c r="M14" s="3">
        <v>2</v>
      </c>
      <c r="N14" s="24">
        <v>45280</v>
      </c>
      <c r="O14" s="4">
        <f>R14*4</f>
        <v>25856</v>
      </c>
      <c r="P14">
        <v>101</v>
      </c>
      <c r="Q14">
        <v>64</v>
      </c>
      <c r="R14">
        <f t="shared" ref="R14:R17" si="0">Q14*P14</f>
        <v>6464</v>
      </c>
    </row>
    <row r="15" spans="1:18" x14ac:dyDescent="0.35">
      <c r="E15" s="3"/>
      <c r="F15" s="24"/>
      <c r="G15" s="4"/>
      <c r="I15" s="3"/>
      <c r="J15" s="24"/>
      <c r="K15" s="4"/>
      <c r="M15" s="3" t="s">
        <v>83</v>
      </c>
      <c r="N15" s="24">
        <v>45280</v>
      </c>
      <c r="O15" s="4">
        <f>R15*2</f>
        <v>8640</v>
      </c>
      <c r="P15">
        <v>36</v>
      </c>
      <c r="Q15">
        <v>120</v>
      </c>
      <c r="R15">
        <f t="shared" si="0"/>
        <v>4320</v>
      </c>
    </row>
    <row r="16" spans="1:18" x14ac:dyDescent="0.35">
      <c r="E16" s="3"/>
      <c r="F16" s="24"/>
      <c r="G16" s="4"/>
      <c r="I16" s="3"/>
      <c r="J16" s="24"/>
      <c r="K16" s="4"/>
      <c r="M16" s="3">
        <v>3</v>
      </c>
      <c r="N16" s="24">
        <v>45285</v>
      </c>
      <c r="O16" s="4">
        <f>R16*4</f>
        <v>23808</v>
      </c>
      <c r="P16">
        <v>93</v>
      </c>
      <c r="Q16">
        <v>64</v>
      </c>
      <c r="R16">
        <f t="shared" si="0"/>
        <v>5952</v>
      </c>
    </row>
    <row r="17" spans="5:18" x14ac:dyDescent="0.35">
      <c r="E17" s="3"/>
      <c r="F17" s="24"/>
      <c r="G17" s="4"/>
      <c r="I17" s="3"/>
      <c r="J17" s="24"/>
      <c r="K17" s="4"/>
      <c r="M17" s="3" t="s">
        <v>83</v>
      </c>
      <c r="N17" s="24">
        <v>45285</v>
      </c>
      <c r="O17" s="4">
        <f>R17*2</f>
        <v>7200</v>
      </c>
      <c r="P17">
        <v>30</v>
      </c>
      <c r="Q17">
        <v>120</v>
      </c>
      <c r="R17">
        <f t="shared" si="0"/>
        <v>3600</v>
      </c>
    </row>
    <row r="18" spans="5:18" x14ac:dyDescent="0.35">
      <c r="E18" s="3"/>
      <c r="F18" s="24"/>
      <c r="G18" s="4"/>
      <c r="I18" s="3"/>
      <c r="J18" s="24"/>
      <c r="K18" s="4"/>
      <c r="M18" s="25" t="s">
        <v>78</v>
      </c>
      <c r="N18" s="26"/>
      <c r="O18" s="4">
        <v>115000</v>
      </c>
    </row>
    <row r="19" spans="5:18" x14ac:dyDescent="0.35">
      <c r="E19" s="25" t="s">
        <v>33</v>
      </c>
      <c r="F19" s="26"/>
      <c r="G19" s="4">
        <f>SUM(G13:G18)</f>
        <v>0</v>
      </c>
      <c r="I19" s="25" t="s">
        <v>33</v>
      </c>
      <c r="J19" s="26"/>
      <c r="K19" s="4">
        <f>SUM(K13:K18)</f>
        <v>0</v>
      </c>
      <c r="M19" s="25" t="s">
        <v>33</v>
      </c>
      <c r="N19" s="26"/>
      <c r="O19" s="4">
        <f>SUM(O13:O18)</f>
        <v>199704</v>
      </c>
    </row>
  </sheetData>
  <mergeCells count="15">
    <mergeCell ref="M1:O1"/>
    <mergeCell ref="M9:N9"/>
    <mergeCell ref="M18:N18"/>
    <mergeCell ref="I1:K1"/>
    <mergeCell ref="I9:J9"/>
    <mergeCell ref="E11:G11"/>
    <mergeCell ref="E19:F19"/>
    <mergeCell ref="I11:K11"/>
    <mergeCell ref="I19:J19"/>
    <mergeCell ref="A1:C1"/>
    <mergeCell ref="A9:B9"/>
    <mergeCell ref="E1:G1"/>
    <mergeCell ref="E9:F9"/>
    <mergeCell ref="M11:O11"/>
    <mergeCell ref="M19:N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EMI</vt:lpstr>
      <vt:lpstr>Vendor Payment</vt:lpstr>
      <vt:lpstr>Invoice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Santkrupa</dc:creator>
  <cp:lastModifiedBy>Maru, Dharmesh</cp:lastModifiedBy>
  <dcterms:created xsi:type="dcterms:W3CDTF">2015-06-05T18:17:20Z</dcterms:created>
  <dcterms:modified xsi:type="dcterms:W3CDTF">2023-12-30T15:20:39Z</dcterms:modified>
</cp:coreProperties>
</file>