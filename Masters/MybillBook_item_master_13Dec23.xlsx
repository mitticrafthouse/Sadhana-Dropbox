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Masters/"/>
    </mc:Choice>
  </mc:AlternateContent>
  <xr:revisionPtr revIDLastSave="129" documentId="8_{6F1D6DAE-67DC-43B0-B366-7E437680BB85}" xr6:coauthVersionLast="47" xr6:coauthVersionMax="47" xr10:uidLastSave="{2B9BBD1A-D087-4233-87DC-894D79AD7425}"/>
  <bookViews>
    <workbookView xWindow="-110" yWindow="-110" windowWidth="19420" windowHeight="11500" activeTab="2" xr2:uid="{7DB5B2E0-768B-4973-9F15-E41084884D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2" i="3"/>
  <c r="A1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2" i="2"/>
  <c r="I5" i="1"/>
  <c r="J5" i="1" s="1"/>
  <c r="I6" i="1"/>
  <c r="J6" i="1" s="1"/>
  <c r="G5" i="1"/>
  <c r="K5" i="1" s="1"/>
  <c r="L5" i="1" s="1"/>
  <c r="M5" i="1" s="1"/>
  <c r="G6" i="1"/>
  <c r="K6" i="1" s="1"/>
  <c r="L6" i="1" s="1"/>
  <c r="M6" i="1" s="1"/>
  <c r="G7" i="1"/>
  <c r="I7" i="1" s="1"/>
  <c r="J7" i="1" s="1"/>
  <c r="G8" i="1"/>
  <c r="I8" i="1" s="1"/>
  <c r="J8" i="1" s="1"/>
  <c r="G9" i="1"/>
  <c r="I9" i="1" s="1"/>
  <c r="J9" i="1" s="1"/>
  <c r="G2" i="1"/>
  <c r="K2" i="1" s="1"/>
  <c r="L2" i="1" s="1"/>
  <c r="M2" i="1" s="1"/>
  <c r="F5" i="1"/>
  <c r="F6" i="1"/>
  <c r="F7" i="1"/>
  <c r="F8" i="1"/>
  <c r="F9" i="1"/>
  <c r="F4" i="1"/>
  <c r="G4" i="1" s="1"/>
  <c r="F3" i="1"/>
  <c r="G3" i="1" s="1"/>
  <c r="F2" i="1"/>
  <c r="K3" i="1" l="1"/>
  <c r="L3" i="1" s="1"/>
  <c r="M3" i="1" s="1"/>
  <c r="I3" i="1"/>
  <c r="J3" i="1" s="1"/>
  <c r="K4" i="1"/>
  <c r="L4" i="1" s="1"/>
  <c r="M4" i="1" s="1"/>
  <c r="I4" i="1"/>
  <c r="J4" i="1" s="1"/>
  <c r="K9" i="1"/>
  <c r="L9" i="1" s="1"/>
  <c r="M9" i="1" s="1"/>
  <c r="K8" i="1"/>
  <c r="L8" i="1" s="1"/>
  <c r="M8" i="1" s="1"/>
  <c r="I2" i="1"/>
  <c r="J2" i="1" s="1"/>
  <c r="K7" i="1"/>
  <c r="L7" i="1" s="1"/>
  <c r="M7" i="1" s="1"/>
</calcChain>
</file>

<file path=xl/sharedStrings.xml><?xml version="1.0" encoding="utf-8"?>
<sst xmlns="http://schemas.openxmlformats.org/spreadsheetml/2006/main" count="184" uniqueCount="77">
  <si>
    <t>T0</t>
  </si>
  <si>
    <t>T00</t>
  </si>
  <si>
    <t>T1</t>
  </si>
  <si>
    <t>T3</t>
  </si>
  <si>
    <t>T5</t>
  </si>
  <si>
    <t>T9</t>
  </si>
  <si>
    <t>Chai Kulhad Small</t>
  </si>
  <si>
    <t>Chai Kulhad Big</t>
  </si>
  <si>
    <t>Item</t>
  </si>
  <si>
    <t xml:space="preserve">Price </t>
  </si>
  <si>
    <t>Packing</t>
  </si>
  <si>
    <t>trnasport</t>
  </si>
  <si>
    <t>Actual Cost per box</t>
  </si>
  <si>
    <t>Purchase cost</t>
  </si>
  <si>
    <t>Selling cost</t>
  </si>
  <si>
    <t>TO GLASS(65ML)</t>
  </si>
  <si>
    <t>T00 GLASS(50ML)</t>
  </si>
  <si>
    <t>T1 GLASS(100ML)</t>
  </si>
  <si>
    <t>T3 GLASS(150ML)</t>
  </si>
  <si>
    <t>T5 GLASS(200ML)</t>
  </si>
  <si>
    <t>T9 GLASS(250ML)</t>
  </si>
  <si>
    <t>CHAI KULHAD(80ML)</t>
  </si>
  <si>
    <t>CHAI KULHAD(150 ML)</t>
  </si>
  <si>
    <t>Item Name*
(mandatory field)</t>
  </si>
  <si>
    <t>Description</t>
  </si>
  <si>
    <t>Category</t>
  </si>
  <si>
    <t>Unit</t>
  </si>
  <si>
    <t>Item code</t>
  </si>
  <si>
    <t>HSN Code</t>
  </si>
  <si>
    <t>GST Tax Rate(%)</t>
  </si>
  <si>
    <t>Sales Price</t>
  </si>
  <si>
    <t>Sales Tax inclusive</t>
  </si>
  <si>
    <t>Purchase Price</t>
  </si>
  <si>
    <t>Purchase Tax inclusive</t>
  </si>
  <si>
    <t>MRP</t>
  </si>
  <si>
    <t>Current stock</t>
  </si>
  <si>
    <t>Low stock alert quantity</t>
  </si>
  <si>
    <t>Item type</t>
  </si>
  <si>
    <t>Visible on Online Store?</t>
  </si>
  <si>
    <t>Inclusive</t>
  </si>
  <si>
    <t>Product</t>
  </si>
  <si>
    <t>Yes</t>
  </si>
  <si>
    <t>PCS</t>
  </si>
  <si>
    <t>GUJRAT WHITE MATKA 08 NO LONG</t>
  </si>
  <si>
    <t>GUJRAT WHITE MATKA 13 NO LONG</t>
  </si>
  <si>
    <t>GUJRAT WHITE MATKA 11 NO LONG</t>
  </si>
  <si>
    <t>GUJRAT WHITE MATKA 10 NO LONG</t>
  </si>
  <si>
    <t>MATALA</t>
  </si>
  <si>
    <t>GUJWL13</t>
  </si>
  <si>
    <t>GUJWL11</t>
  </si>
  <si>
    <t>GUJWL10</t>
  </si>
  <si>
    <t>GUJWL08</t>
  </si>
  <si>
    <t>GUJRAT WHITE MATKA 13 NO ROUND</t>
  </si>
  <si>
    <t>GUJRAT WHITE MATKA 11 NO ROUND</t>
  </si>
  <si>
    <t>GUJRAT WHITE MATKA 10 NO ROUND</t>
  </si>
  <si>
    <t>GUJRAT WHITE MATKA 08 NO ROUND</t>
  </si>
  <si>
    <t>GUJWR13</t>
  </si>
  <si>
    <t>GUJWR11</t>
  </si>
  <si>
    <t>GUJWR10</t>
  </si>
  <si>
    <t>GUJWR08</t>
  </si>
  <si>
    <t>GUJRAT RED MATKA 13 NO LONG</t>
  </si>
  <si>
    <t>GUJRAT RED MATKA 11 NO LONG</t>
  </si>
  <si>
    <t>GUJRAT RED MATKA 10 NO LONG</t>
  </si>
  <si>
    <t>GUJRAT RED MATKA 08 NO LONG</t>
  </si>
  <si>
    <t>GUJRAT RED MATKA 13 NO ROUND</t>
  </si>
  <si>
    <t>GUJRAT RED MATKA 11 NO ROUND</t>
  </si>
  <si>
    <t>GUJRAT RED MATKA 10 NO ROUND</t>
  </si>
  <si>
    <t>GUJRAT RED MATKA 08 NO ROUND</t>
  </si>
  <si>
    <t>GUJRL13</t>
  </si>
  <si>
    <t>GUJRL11</t>
  </si>
  <si>
    <t>GUJRL10</t>
  </si>
  <si>
    <t>GUJRL08</t>
  </si>
  <si>
    <t>GUJRR13</t>
  </si>
  <si>
    <t>GUJRR11</t>
  </si>
  <si>
    <t>GUJRR10</t>
  </si>
  <si>
    <t>GUJRR08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</si>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</sst>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D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DD49-E590-4CEA-B5A6-4CAC0EDD81EF}">
  <dimension ref="A1:M9"/>
  <sheetViews>
    <sheetView workbookViewId="0">
      <selection activeCell="G2" sqref="G2:G9"/>
    </sheetView>
  </sheetViews>
  <sheetFormatPr defaultRowHeight="14.5" x14ac:dyDescent="0.35"/>
  <cols>
    <col min="1" max="1" width="20.6328125" bestFit="1" customWidth="1"/>
    <col min="2" max="2" width="15.6328125" bestFit="1" customWidth="1"/>
    <col min="6" max="6" width="17.08984375" bestFit="1" customWidth="1"/>
    <col min="7" max="7" width="12.1796875" bestFit="1" customWidth="1"/>
    <col min="8" max="8" width="9.90625" bestFit="1" customWidth="1"/>
  </cols>
  <sheetData>
    <row r="1" spans="1:13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13" x14ac:dyDescent="0.35">
      <c r="A2" t="s">
        <v>15</v>
      </c>
      <c r="B2" t="s">
        <v>0</v>
      </c>
      <c r="C2">
        <v>1.1000000000000001</v>
      </c>
      <c r="D2">
        <v>200</v>
      </c>
      <c r="E2">
        <v>60</v>
      </c>
      <c r="F2">
        <f>(D2*C2)+E2+12</f>
        <v>292</v>
      </c>
      <c r="G2">
        <f>ROUND(F2/D2,2)</f>
        <v>1.46</v>
      </c>
      <c r="H2">
        <v>2</v>
      </c>
      <c r="I2">
        <f>H2-G2</f>
        <v>0.54</v>
      </c>
      <c r="J2" s="1">
        <f>I2/G2</f>
        <v>0.36986301369863017</v>
      </c>
      <c r="K2">
        <f>G2+G2*28%</f>
        <v>1.8688</v>
      </c>
      <c r="L2">
        <f>H2-K2</f>
        <v>0.13119999999999998</v>
      </c>
      <c r="M2" s="1">
        <f>L2/G2</f>
        <v>8.9863013698630131E-2</v>
      </c>
    </row>
    <row r="3" spans="1:13" x14ac:dyDescent="0.35">
      <c r="A3" t="s">
        <v>16</v>
      </c>
      <c r="B3" t="s">
        <v>1</v>
      </c>
      <c r="C3">
        <v>1.1000000000000001</v>
      </c>
      <c r="D3">
        <v>200</v>
      </c>
      <c r="E3">
        <v>60</v>
      </c>
      <c r="F3">
        <f t="shared" ref="F3" si="0">(D3*C3)+E3+12</f>
        <v>292</v>
      </c>
      <c r="G3">
        <f t="shared" ref="G3:G9" si="1">ROUND(F3/D3,2)</f>
        <v>1.46</v>
      </c>
      <c r="H3">
        <v>2</v>
      </c>
      <c r="I3">
        <f t="shared" ref="I3:I9" si="2">H3-G3</f>
        <v>0.54</v>
      </c>
      <c r="J3" s="1">
        <f t="shared" ref="J3:J9" si="3">I3/G3</f>
        <v>0.36986301369863017</v>
      </c>
      <c r="K3">
        <f t="shared" ref="K3:K9" si="4">G3+G3*28%</f>
        <v>1.8688</v>
      </c>
      <c r="L3">
        <f t="shared" ref="L3:L9" si="5">H3-K3</f>
        <v>0.13119999999999998</v>
      </c>
      <c r="M3" s="1">
        <f t="shared" ref="M3:M9" si="6">L3/G3</f>
        <v>8.9863013698630131E-2</v>
      </c>
    </row>
    <row r="4" spans="1:13" x14ac:dyDescent="0.35">
      <c r="A4" t="s">
        <v>17</v>
      </c>
      <c r="B4" t="s">
        <v>2</v>
      </c>
      <c r="C4">
        <v>1.2</v>
      </c>
      <c r="D4">
        <v>160</v>
      </c>
      <c r="E4">
        <v>60</v>
      </c>
      <c r="F4">
        <f>(D4*C4)+E4</f>
        <v>252</v>
      </c>
      <c r="G4">
        <f t="shared" si="1"/>
        <v>1.58</v>
      </c>
      <c r="H4">
        <v>2.5</v>
      </c>
      <c r="I4">
        <f t="shared" si="2"/>
        <v>0.91999999999999993</v>
      </c>
      <c r="J4" s="1">
        <f t="shared" si="3"/>
        <v>0.58227848101265811</v>
      </c>
      <c r="K4">
        <f t="shared" si="4"/>
        <v>2.0224000000000002</v>
      </c>
      <c r="L4">
        <f t="shared" si="5"/>
        <v>0.4775999999999998</v>
      </c>
      <c r="M4" s="1">
        <f t="shared" si="6"/>
        <v>0.30227848101265808</v>
      </c>
    </row>
    <row r="5" spans="1:13" x14ac:dyDescent="0.35">
      <c r="A5" t="s">
        <v>18</v>
      </c>
      <c r="B5" t="s">
        <v>3</v>
      </c>
      <c r="C5">
        <v>1.3</v>
      </c>
      <c r="D5">
        <v>100</v>
      </c>
      <c r="E5">
        <v>60</v>
      </c>
      <c r="F5">
        <f t="shared" ref="F5:F9" si="7">(D5*C5)+E5</f>
        <v>190</v>
      </c>
      <c r="G5">
        <f t="shared" si="1"/>
        <v>1.9</v>
      </c>
      <c r="H5">
        <v>3.5</v>
      </c>
      <c r="I5">
        <f t="shared" si="2"/>
        <v>1.6</v>
      </c>
      <c r="J5" s="1">
        <f t="shared" si="3"/>
        <v>0.8421052631578948</v>
      </c>
      <c r="K5">
        <f t="shared" si="4"/>
        <v>2.4319999999999999</v>
      </c>
      <c r="L5">
        <f t="shared" si="5"/>
        <v>1.0680000000000001</v>
      </c>
      <c r="M5" s="1">
        <f t="shared" si="6"/>
        <v>0.56210526315789477</v>
      </c>
    </row>
    <row r="6" spans="1:13" x14ac:dyDescent="0.35">
      <c r="A6" t="s">
        <v>19</v>
      </c>
      <c r="B6" t="s">
        <v>4</v>
      </c>
      <c r="C6">
        <v>1.9</v>
      </c>
      <c r="D6">
        <v>90</v>
      </c>
      <c r="E6">
        <v>60</v>
      </c>
      <c r="F6">
        <f t="shared" si="7"/>
        <v>231</v>
      </c>
      <c r="G6">
        <f t="shared" si="1"/>
        <v>2.57</v>
      </c>
      <c r="H6">
        <v>5</v>
      </c>
      <c r="I6">
        <f t="shared" si="2"/>
        <v>2.4300000000000002</v>
      </c>
      <c r="J6" s="1">
        <f t="shared" si="3"/>
        <v>0.94552529182879386</v>
      </c>
      <c r="K6">
        <f t="shared" si="4"/>
        <v>3.2896000000000001</v>
      </c>
      <c r="L6">
        <f t="shared" si="5"/>
        <v>1.7103999999999999</v>
      </c>
      <c r="M6" s="1">
        <f t="shared" si="6"/>
        <v>0.66552529182879383</v>
      </c>
    </row>
    <row r="7" spans="1:13" x14ac:dyDescent="0.35">
      <c r="A7" t="s">
        <v>20</v>
      </c>
      <c r="B7" t="s">
        <v>5</v>
      </c>
      <c r="C7">
        <v>2.5</v>
      </c>
      <c r="D7">
        <v>63</v>
      </c>
      <c r="E7">
        <v>60</v>
      </c>
      <c r="F7">
        <f t="shared" si="7"/>
        <v>217.5</v>
      </c>
      <c r="G7">
        <f t="shared" si="1"/>
        <v>3.45</v>
      </c>
      <c r="H7">
        <v>7</v>
      </c>
      <c r="I7">
        <f t="shared" si="2"/>
        <v>3.55</v>
      </c>
      <c r="J7" s="1">
        <f t="shared" si="3"/>
        <v>1.0289855072463767</v>
      </c>
      <c r="K7">
        <f t="shared" si="4"/>
        <v>4.4160000000000004</v>
      </c>
      <c r="L7">
        <f t="shared" si="5"/>
        <v>2.5839999999999996</v>
      </c>
      <c r="M7" s="1">
        <f t="shared" si="6"/>
        <v>0.74898550724637669</v>
      </c>
    </row>
    <row r="8" spans="1:13" x14ac:dyDescent="0.35">
      <c r="A8" t="s">
        <v>21</v>
      </c>
      <c r="B8" t="s">
        <v>6</v>
      </c>
      <c r="C8">
        <v>1.3</v>
      </c>
      <c r="D8">
        <v>180</v>
      </c>
      <c r="E8">
        <v>60</v>
      </c>
      <c r="F8">
        <f t="shared" si="7"/>
        <v>294</v>
      </c>
      <c r="G8">
        <f t="shared" si="1"/>
        <v>1.63</v>
      </c>
      <c r="H8">
        <v>2.5</v>
      </c>
      <c r="I8">
        <f t="shared" si="2"/>
        <v>0.87000000000000011</v>
      </c>
      <c r="J8" s="1">
        <f t="shared" si="3"/>
        <v>0.5337423312883437</v>
      </c>
      <c r="K8">
        <f t="shared" si="4"/>
        <v>2.0863999999999998</v>
      </c>
      <c r="L8">
        <f t="shared" si="5"/>
        <v>0.41360000000000019</v>
      </c>
      <c r="M8" s="1">
        <f t="shared" si="6"/>
        <v>0.25374233128834367</v>
      </c>
    </row>
    <row r="9" spans="1:13" x14ac:dyDescent="0.35">
      <c r="A9" t="s">
        <v>22</v>
      </c>
      <c r="B9" t="s">
        <v>7</v>
      </c>
      <c r="C9">
        <v>2</v>
      </c>
      <c r="D9">
        <v>90</v>
      </c>
      <c r="E9">
        <v>60</v>
      </c>
      <c r="F9">
        <f t="shared" si="7"/>
        <v>240</v>
      </c>
      <c r="G9">
        <f t="shared" si="1"/>
        <v>2.67</v>
      </c>
      <c r="H9">
        <v>5</v>
      </c>
      <c r="I9">
        <f t="shared" si="2"/>
        <v>2.33</v>
      </c>
      <c r="J9" s="1">
        <f t="shared" si="3"/>
        <v>0.87265917602996257</v>
      </c>
      <c r="K9">
        <f t="shared" si="4"/>
        <v>3.4176000000000002</v>
      </c>
      <c r="L9">
        <f t="shared" si="5"/>
        <v>1.5823999999999998</v>
      </c>
      <c r="M9" s="1">
        <f t="shared" si="6"/>
        <v>0.59265917602996254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61D-382C-4FD2-AFB5-9F43B9E2DF66}">
  <dimension ref="A1:S17"/>
  <sheetViews>
    <sheetView topLeftCell="B1" workbookViewId="0">
      <selection activeCell="A2" sqref="A2:P17"/>
    </sheetView>
  </sheetViews>
  <sheetFormatPr defaultRowHeight="14.5" x14ac:dyDescent="0.35"/>
  <cols>
    <col min="1" max="1" width="31.08984375" bestFit="1" customWidth="1"/>
    <col min="2" max="2" width="32.6328125" bestFit="1" customWidth="1"/>
    <col min="5" max="5" width="15.6328125" bestFit="1" customWidth="1"/>
  </cols>
  <sheetData>
    <row r="1" spans="1:19" ht="53" thickBot="1" x14ac:dyDescent="0.4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3"/>
      <c r="R1" s="3"/>
      <c r="S1" s="3"/>
    </row>
    <row r="2" spans="1:19" ht="15" thickBot="1" x14ac:dyDescent="0.4">
      <c r="A2" t="s">
        <v>44</v>
      </c>
      <c r="B2" t="s">
        <v>44</v>
      </c>
      <c r="C2" s="4" t="s">
        <v>47</v>
      </c>
      <c r="D2" s="4" t="s">
        <v>42</v>
      </c>
      <c r="E2" t="s">
        <v>48</v>
      </c>
      <c r="F2" s="5">
        <v>69120040</v>
      </c>
      <c r="G2" s="5">
        <v>0</v>
      </c>
      <c r="H2">
        <v>260</v>
      </c>
      <c r="I2" s="4" t="s">
        <v>39</v>
      </c>
      <c r="J2" s="5">
        <v>196</v>
      </c>
      <c r="K2" s="4" t="s">
        <v>39</v>
      </c>
      <c r="L2" s="5">
        <v>500</v>
      </c>
      <c r="M2" s="5">
        <v>20</v>
      </c>
      <c r="N2" s="5">
        <f>ROUND(M2*0.25,0)</f>
        <v>5</v>
      </c>
      <c r="O2" s="4" t="s">
        <v>40</v>
      </c>
      <c r="P2" s="4" t="s">
        <v>41</v>
      </c>
      <c r="Q2" s="4"/>
      <c r="R2" s="4"/>
      <c r="S2" s="4"/>
    </row>
    <row r="3" spans="1:19" ht="15" thickBot="1" x14ac:dyDescent="0.4">
      <c r="A3" t="s">
        <v>45</v>
      </c>
      <c r="B3" t="s">
        <v>45</v>
      </c>
      <c r="C3" s="4" t="s">
        <v>47</v>
      </c>
      <c r="D3" s="4" t="s">
        <v>42</v>
      </c>
      <c r="E3" t="s">
        <v>49</v>
      </c>
      <c r="F3" s="5">
        <v>69120040</v>
      </c>
      <c r="G3" s="5">
        <v>0</v>
      </c>
      <c r="H3">
        <v>240</v>
      </c>
      <c r="I3" s="4" t="s">
        <v>39</v>
      </c>
      <c r="J3" s="5">
        <v>186</v>
      </c>
      <c r="K3" s="4" t="s">
        <v>39</v>
      </c>
      <c r="L3" s="5">
        <v>450</v>
      </c>
      <c r="M3" s="5">
        <v>22</v>
      </c>
      <c r="N3" s="5">
        <f t="shared" ref="N3:N17" si="0">ROUND(M3*0.25,0)</f>
        <v>6</v>
      </c>
      <c r="O3" s="4" t="s">
        <v>40</v>
      </c>
      <c r="P3" s="4" t="s">
        <v>41</v>
      </c>
      <c r="Q3" s="4"/>
      <c r="R3" s="4"/>
      <c r="S3" s="4"/>
    </row>
    <row r="4" spans="1:19" ht="15" thickBot="1" x14ac:dyDescent="0.4">
      <c r="A4" t="s">
        <v>46</v>
      </c>
      <c r="B4" t="s">
        <v>46</v>
      </c>
      <c r="C4" s="4" t="s">
        <v>47</v>
      </c>
      <c r="D4" s="4" t="s">
        <v>42</v>
      </c>
      <c r="E4" t="s">
        <v>50</v>
      </c>
      <c r="F4" s="5">
        <v>69120040</v>
      </c>
      <c r="G4" s="5">
        <v>0</v>
      </c>
      <c r="H4">
        <v>200</v>
      </c>
      <c r="I4" s="4" t="s">
        <v>39</v>
      </c>
      <c r="J4" s="5">
        <v>141</v>
      </c>
      <c r="K4" s="4" t="s">
        <v>39</v>
      </c>
      <c r="L4" s="5">
        <v>400</v>
      </c>
      <c r="M4" s="5">
        <v>31</v>
      </c>
      <c r="N4" s="5">
        <f t="shared" si="0"/>
        <v>8</v>
      </c>
      <c r="O4" s="4" t="s">
        <v>40</v>
      </c>
      <c r="P4" s="4" t="s">
        <v>41</v>
      </c>
      <c r="Q4" s="4"/>
      <c r="R4" s="4"/>
      <c r="S4" s="4"/>
    </row>
    <row r="5" spans="1:19" ht="15" thickBot="1" x14ac:dyDescent="0.4">
      <c r="A5" t="s">
        <v>43</v>
      </c>
      <c r="B5" t="s">
        <v>43</v>
      </c>
      <c r="C5" s="4" t="s">
        <v>47</v>
      </c>
      <c r="D5" s="4" t="s">
        <v>42</v>
      </c>
      <c r="E5" t="s">
        <v>51</v>
      </c>
      <c r="F5" s="5">
        <v>69120040</v>
      </c>
      <c r="G5" s="5">
        <v>0</v>
      </c>
      <c r="H5">
        <v>180</v>
      </c>
      <c r="I5" s="4" t="s">
        <v>39</v>
      </c>
      <c r="J5" s="5">
        <v>131</v>
      </c>
      <c r="K5" s="4" t="s">
        <v>39</v>
      </c>
      <c r="L5" s="5">
        <v>375</v>
      </c>
      <c r="M5" s="4">
        <v>29</v>
      </c>
      <c r="N5" s="5">
        <f t="shared" si="0"/>
        <v>7</v>
      </c>
      <c r="O5" s="4" t="s">
        <v>40</v>
      </c>
      <c r="P5" s="4" t="s">
        <v>41</v>
      </c>
      <c r="Q5" s="4"/>
      <c r="R5" s="4"/>
      <c r="S5" s="4"/>
    </row>
    <row r="6" spans="1:19" ht="15" thickBot="1" x14ac:dyDescent="0.4">
      <c r="A6" t="s">
        <v>52</v>
      </c>
      <c r="B6" t="s">
        <v>52</v>
      </c>
      <c r="C6" s="4" t="s">
        <v>47</v>
      </c>
      <c r="D6" s="4" t="s">
        <v>42</v>
      </c>
      <c r="E6" t="s">
        <v>56</v>
      </c>
      <c r="F6" s="5">
        <v>69120040</v>
      </c>
      <c r="G6" s="5">
        <v>0</v>
      </c>
      <c r="H6">
        <v>260</v>
      </c>
      <c r="I6" s="4" t="s">
        <v>39</v>
      </c>
      <c r="J6" s="5">
        <v>196</v>
      </c>
      <c r="K6" s="4" t="s">
        <v>39</v>
      </c>
      <c r="L6" s="5">
        <v>500</v>
      </c>
      <c r="M6" s="5">
        <v>15</v>
      </c>
      <c r="N6" s="5">
        <f t="shared" si="0"/>
        <v>4</v>
      </c>
      <c r="O6" s="4" t="s">
        <v>40</v>
      </c>
      <c r="P6" s="4" t="s">
        <v>41</v>
      </c>
      <c r="Q6" s="4"/>
      <c r="R6" s="4"/>
      <c r="S6" s="4"/>
    </row>
    <row r="7" spans="1:19" ht="15" thickBot="1" x14ac:dyDescent="0.4">
      <c r="A7" t="s">
        <v>53</v>
      </c>
      <c r="B7" t="s">
        <v>53</v>
      </c>
      <c r="C7" s="4" t="s">
        <v>47</v>
      </c>
      <c r="D7" s="4" t="s">
        <v>42</v>
      </c>
      <c r="E7" t="s">
        <v>57</v>
      </c>
      <c r="F7" s="5">
        <v>69120040</v>
      </c>
      <c r="G7" s="5">
        <v>0</v>
      </c>
      <c r="H7">
        <v>240</v>
      </c>
      <c r="I7" s="4" t="s">
        <v>39</v>
      </c>
      <c r="J7" s="5">
        <v>186</v>
      </c>
      <c r="K7" s="4" t="s">
        <v>39</v>
      </c>
      <c r="L7" s="5">
        <v>450</v>
      </c>
      <c r="M7" s="6">
        <v>19</v>
      </c>
      <c r="N7" s="5">
        <f t="shared" si="0"/>
        <v>5</v>
      </c>
      <c r="O7" s="4" t="s">
        <v>40</v>
      </c>
      <c r="P7" s="4" t="s">
        <v>41</v>
      </c>
    </row>
    <row r="8" spans="1:19" ht="15" thickBot="1" x14ac:dyDescent="0.4">
      <c r="A8" t="s">
        <v>54</v>
      </c>
      <c r="B8" t="s">
        <v>54</v>
      </c>
      <c r="C8" s="4" t="s">
        <v>47</v>
      </c>
      <c r="D8" s="4" t="s">
        <v>42</v>
      </c>
      <c r="E8" t="s">
        <v>58</v>
      </c>
      <c r="F8" s="5">
        <v>69120040</v>
      </c>
      <c r="G8" s="5">
        <v>0</v>
      </c>
      <c r="H8">
        <v>200</v>
      </c>
      <c r="I8" s="4" t="s">
        <v>39</v>
      </c>
      <c r="J8" s="5">
        <v>141</v>
      </c>
      <c r="K8" s="4" t="s">
        <v>39</v>
      </c>
      <c r="L8" s="5">
        <v>400</v>
      </c>
      <c r="M8" s="6">
        <v>27</v>
      </c>
      <c r="N8" s="5">
        <f t="shared" si="0"/>
        <v>7</v>
      </c>
      <c r="O8" s="4" t="s">
        <v>40</v>
      </c>
      <c r="P8" s="4" t="s">
        <v>41</v>
      </c>
    </row>
    <row r="9" spans="1:19" ht="15" thickBot="1" x14ac:dyDescent="0.4">
      <c r="A9" t="s">
        <v>55</v>
      </c>
      <c r="B9" t="s">
        <v>55</v>
      </c>
      <c r="C9" s="4" t="s">
        <v>47</v>
      </c>
      <c r="D9" s="4" t="s">
        <v>42</v>
      </c>
      <c r="E9" t="s">
        <v>59</v>
      </c>
      <c r="F9" s="5">
        <v>69120040</v>
      </c>
      <c r="G9" s="5">
        <v>0</v>
      </c>
      <c r="H9">
        <v>180</v>
      </c>
      <c r="I9" s="4" t="s">
        <v>39</v>
      </c>
      <c r="J9" s="5">
        <v>131</v>
      </c>
      <c r="K9" s="4" t="s">
        <v>39</v>
      </c>
      <c r="L9" s="5">
        <v>375</v>
      </c>
      <c r="M9" s="6">
        <v>27</v>
      </c>
      <c r="N9" s="5">
        <f t="shared" si="0"/>
        <v>7</v>
      </c>
      <c r="O9" s="4" t="s">
        <v>40</v>
      </c>
      <c r="P9" s="4" t="s">
        <v>41</v>
      </c>
    </row>
    <row r="10" spans="1:19" ht="15" thickBot="1" x14ac:dyDescent="0.4">
      <c r="A10" t="s">
        <v>60</v>
      </c>
      <c r="B10" t="s">
        <v>60</v>
      </c>
      <c r="C10" s="4" t="s">
        <v>47</v>
      </c>
      <c r="D10" s="4" t="s">
        <v>42</v>
      </c>
      <c r="E10" t="s">
        <v>68</v>
      </c>
      <c r="F10" s="5">
        <v>69120040</v>
      </c>
      <c r="G10" s="5">
        <v>0</v>
      </c>
      <c r="H10">
        <v>270</v>
      </c>
      <c r="I10" s="4" t="s">
        <v>39</v>
      </c>
      <c r="J10" s="5">
        <v>211</v>
      </c>
      <c r="K10" s="4" t="s">
        <v>39</v>
      </c>
      <c r="L10" s="5">
        <v>500</v>
      </c>
      <c r="M10" s="5">
        <v>20</v>
      </c>
      <c r="N10" s="5">
        <f t="shared" si="0"/>
        <v>5</v>
      </c>
      <c r="O10" s="4" t="s">
        <v>40</v>
      </c>
      <c r="P10" s="4" t="s">
        <v>41</v>
      </c>
      <c r="Q10" s="4"/>
      <c r="R10" s="4"/>
      <c r="S10" s="4"/>
    </row>
    <row r="11" spans="1:19" ht="15" thickBot="1" x14ac:dyDescent="0.4">
      <c r="A11" t="s">
        <v>61</v>
      </c>
      <c r="B11" t="s">
        <v>61</v>
      </c>
      <c r="C11" s="4" t="s">
        <v>47</v>
      </c>
      <c r="D11" s="4" t="s">
        <v>42</v>
      </c>
      <c r="E11" t="s">
        <v>69</v>
      </c>
      <c r="F11" s="5">
        <v>69120040</v>
      </c>
      <c r="G11" s="5">
        <v>0</v>
      </c>
      <c r="H11">
        <v>250</v>
      </c>
      <c r="I11" s="4" t="s">
        <v>39</v>
      </c>
      <c r="J11" s="5">
        <v>201</v>
      </c>
      <c r="K11" s="4" t="s">
        <v>39</v>
      </c>
      <c r="L11" s="5">
        <v>450</v>
      </c>
      <c r="M11" s="5">
        <v>27</v>
      </c>
      <c r="N11" s="5">
        <f t="shared" si="0"/>
        <v>7</v>
      </c>
      <c r="O11" s="4" t="s">
        <v>40</v>
      </c>
      <c r="P11" s="4" t="s">
        <v>41</v>
      </c>
      <c r="Q11" s="4"/>
      <c r="R11" s="4"/>
      <c r="S11" s="4"/>
    </row>
    <row r="12" spans="1:19" ht="15" thickBot="1" x14ac:dyDescent="0.4">
      <c r="A12" t="s">
        <v>62</v>
      </c>
      <c r="B12" t="s">
        <v>62</v>
      </c>
      <c r="C12" s="4" t="s">
        <v>47</v>
      </c>
      <c r="D12" s="4" t="s">
        <v>42</v>
      </c>
      <c r="E12" t="s">
        <v>70</v>
      </c>
      <c r="F12" s="5">
        <v>69120040</v>
      </c>
      <c r="G12" s="5">
        <v>0</v>
      </c>
      <c r="H12">
        <v>220</v>
      </c>
      <c r="I12" s="4" t="s">
        <v>39</v>
      </c>
      <c r="J12" s="5">
        <v>146</v>
      </c>
      <c r="K12" s="4" t="s">
        <v>39</v>
      </c>
      <c r="L12" s="5">
        <v>400</v>
      </c>
      <c r="M12" s="5">
        <v>25</v>
      </c>
      <c r="N12" s="5">
        <f t="shared" si="0"/>
        <v>6</v>
      </c>
      <c r="O12" s="4" t="s">
        <v>40</v>
      </c>
      <c r="P12" s="4" t="s">
        <v>41</v>
      </c>
      <c r="Q12" s="4"/>
      <c r="R12" s="4"/>
      <c r="S12" s="4"/>
    </row>
    <row r="13" spans="1:19" ht="15" thickBot="1" x14ac:dyDescent="0.4">
      <c r="A13" t="s">
        <v>63</v>
      </c>
      <c r="B13" t="s">
        <v>63</v>
      </c>
      <c r="C13" s="4" t="s">
        <v>47</v>
      </c>
      <c r="D13" s="4" t="s">
        <v>42</v>
      </c>
      <c r="E13" t="s">
        <v>71</v>
      </c>
      <c r="F13" s="5">
        <v>69120040</v>
      </c>
      <c r="G13" s="5">
        <v>0</v>
      </c>
      <c r="H13">
        <v>190</v>
      </c>
      <c r="I13" s="4" t="s">
        <v>39</v>
      </c>
      <c r="J13" s="5">
        <v>141</v>
      </c>
      <c r="K13" s="4" t="s">
        <v>39</v>
      </c>
      <c r="L13" s="5">
        <v>375</v>
      </c>
      <c r="M13" s="4">
        <v>23</v>
      </c>
      <c r="N13" s="5">
        <f t="shared" si="0"/>
        <v>6</v>
      </c>
      <c r="O13" s="4" t="s">
        <v>40</v>
      </c>
      <c r="P13" s="4" t="s">
        <v>41</v>
      </c>
      <c r="Q13" s="4"/>
      <c r="R13" s="4"/>
      <c r="S13" s="4"/>
    </row>
    <row r="14" spans="1:19" ht="15" thickBot="1" x14ac:dyDescent="0.4">
      <c r="A14" t="s">
        <v>64</v>
      </c>
      <c r="B14" t="s">
        <v>64</v>
      </c>
      <c r="C14" s="4" t="s">
        <v>47</v>
      </c>
      <c r="D14" s="4" t="s">
        <v>42</v>
      </c>
      <c r="E14" t="s">
        <v>72</v>
      </c>
      <c r="F14" s="5">
        <v>69120040</v>
      </c>
      <c r="G14" s="5">
        <v>0</v>
      </c>
      <c r="H14">
        <v>270</v>
      </c>
      <c r="I14" s="4" t="s">
        <v>39</v>
      </c>
      <c r="J14" s="5">
        <v>211</v>
      </c>
      <c r="K14" s="4" t="s">
        <v>39</v>
      </c>
      <c r="L14" s="5">
        <v>500</v>
      </c>
      <c r="M14" s="5">
        <v>8</v>
      </c>
      <c r="N14" s="5">
        <f t="shared" si="0"/>
        <v>2</v>
      </c>
      <c r="O14" s="4" t="s">
        <v>40</v>
      </c>
      <c r="P14" s="4" t="s">
        <v>41</v>
      </c>
      <c r="Q14" s="4"/>
      <c r="R14" s="4"/>
      <c r="S14" s="4"/>
    </row>
    <row r="15" spans="1:19" ht="15" thickBot="1" x14ac:dyDescent="0.4">
      <c r="A15" t="s">
        <v>65</v>
      </c>
      <c r="B15" t="s">
        <v>65</v>
      </c>
      <c r="C15" s="4" t="s">
        <v>47</v>
      </c>
      <c r="D15" s="4" t="s">
        <v>42</v>
      </c>
      <c r="E15" t="s">
        <v>73</v>
      </c>
      <c r="F15" s="5">
        <v>69120040</v>
      </c>
      <c r="G15" s="5">
        <v>0</v>
      </c>
      <c r="H15">
        <v>250</v>
      </c>
      <c r="I15" s="4" t="s">
        <v>39</v>
      </c>
      <c r="J15" s="5">
        <v>201</v>
      </c>
      <c r="K15" s="4" t="s">
        <v>39</v>
      </c>
      <c r="L15" s="5">
        <v>450</v>
      </c>
      <c r="M15" s="5">
        <v>14</v>
      </c>
      <c r="N15" s="5">
        <f t="shared" si="0"/>
        <v>4</v>
      </c>
      <c r="O15" s="4" t="s">
        <v>40</v>
      </c>
      <c r="P15" s="4" t="s">
        <v>41</v>
      </c>
    </row>
    <row r="16" spans="1:19" ht="15" thickBot="1" x14ac:dyDescent="0.4">
      <c r="A16" t="s">
        <v>66</v>
      </c>
      <c r="B16" t="s">
        <v>66</v>
      </c>
      <c r="C16" s="4" t="s">
        <v>47</v>
      </c>
      <c r="D16" s="4" t="s">
        <v>42</v>
      </c>
      <c r="E16" t="s">
        <v>74</v>
      </c>
      <c r="F16" s="5">
        <v>69120040</v>
      </c>
      <c r="G16" s="5">
        <v>0</v>
      </c>
      <c r="H16">
        <v>220</v>
      </c>
      <c r="I16" s="4" t="s">
        <v>39</v>
      </c>
      <c r="J16" s="5">
        <v>146</v>
      </c>
      <c r="K16" s="4" t="s">
        <v>39</v>
      </c>
      <c r="L16" s="5">
        <v>400</v>
      </c>
      <c r="M16" s="5">
        <v>41</v>
      </c>
      <c r="N16" s="5">
        <v>6</v>
      </c>
      <c r="O16" s="4" t="s">
        <v>40</v>
      </c>
      <c r="P16" s="4" t="s">
        <v>41</v>
      </c>
    </row>
    <row r="17" spans="1:16" ht="15" thickBot="1" x14ac:dyDescent="0.4">
      <c r="A17" t="s">
        <v>67</v>
      </c>
      <c r="B17" t="s">
        <v>67</v>
      </c>
      <c r="C17" s="4" t="s">
        <v>47</v>
      </c>
      <c r="D17" s="4" t="s">
        <v>42</v>
      </c>
      <c r="E17" t="s">
        <v>75</v>
      </c>
      <c r="F17" s="5">
        <v>69120040</v>
      </c>
      <c r="G17" s="5">
        <v>0</v>
      </c>
      <c r="H17">
        <v>190</v>
      </c>
      <c r="I17" s="4" t="s">
        <v>39</v>
      </c>
      <c r="J17" s="5">
        <v>141</v>
      </c>
      <c r="K17" s="4" t="s">
        <v>39</v>
      </c>
      <c r="L17" s="5">
        <v>375</v>
      </c>
      <c r="M17" s="4">
        <v>44</v>
      </c>
      <c r="N17" s="5">
        <v>6</v>
      </c>
      <c r="O17" s="4" t="s">
        <v>40</v>
      </c>
      <c r="P17" s="4" t="s">
        <v>41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58E5-E185-4B6B-91E7-05B91F0A0A89}">
  <dimension ref="A1:A5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>
        <f>11*500</f>
        <v>5500</v>
      </c>
    </row>
    <row r="2" spans="1:1" x14ac:dyDescent="0.35">
      <c r="A2">
        <f>20*200</f>
        <v>4000</v>
      </c>
    </row>
    <row r="3" spans="1:1" x14ac:dyDescent="0.35">
      <c r="A3">
        <v>1900</v>
      </c>
    </row>
    <row r="4" spans="1:1" x14ac:dyDescent="0.35">
      <c r="A4">
        <f>SUM(A1:A3)</f>
        <v>11400</v>
      </c>
    </row>
    <row r="5" spans="1:1" x14ac:dyDescent="0.35">
      <c r="A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2023-12-13T14:31:27Z</dcterms:created>
  <dcterms:modified xsi:type="dcterms:W3CDTF">2024-01-18T16:18:59Z</dcterms:modified>
</cp:coreProperties>
</file>